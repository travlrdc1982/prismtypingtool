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e2777c86b94f1aa8/Desktop/"/>
    </mc:Choice>
  </mc:AlternateContent>
  <xr:revisionPtr revIDLastSave="0" documentId="8_{3BC69B06-58BE-4BCE-95D0-E6A1C61B1C53}" xr6:coauthVersionLast="47" xr6:coauthVersionMax="47" xr10:uidLastSave="{00000000-0000-0000-0000-000000000000}"/>
  <bookViews>
    <workbookView xWindow="39300" yWindow="2745" windowWidth="23025" windowHeight="16350" xr2:uid="{651F8256-838B-4DEF-B107-87047C3E1D4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7" i="1" l="1"/>
  <c r="L16" i="1"/>
</calcChain>
</file>

<file path=xl/sharedStrings.xml><?xml version="1.0" encoding="utf-8"?>
<sst xmlns="http://schemas.openxmlformats.org/spreadsheetml/2006/main" count="765" uniqueCount="401">
  <si>
    <t>CONFIG?</t>
  </si>
  <si>
    <t>Variable</t>
  </si>
  <si>
    <t>page_group</t>
  </si>
  <si>
    <t>Question Text</t>
  </si>
  <si>
    <t>Instruction/Body Text</t>
  </si>
  <si>
    <t>Response Cats (columns)</t>
  </si>
  <si>
    <t>Items (rows)</t>
  </si>
  <si>
    <t>Component
(Canva)</t>
  </si>
  <si>
    <t>Decipher
Impl.</t>
  </si>
  <si>
    <t>Key Feature</t>
  </si>
  <si>
    <t>Status</t>
  </si>
  <si>
    <t>cond
(display)</t>
  </si>
  <si>
    <t>validation</t>
  </si>
  <si>
    <t>term
(terminate)</t>
  </si>
  <si>
    <t>shuffle</t>
  </si>
  <si>
    <t>noanswer</t>
  </si>
  <si>
    <t>recodes/new variables</t>
  </si>
  <si>
    <t>comp</t>
  </si>
  <si>
    <t>bibd_spec</t>
  </si>
  <si>
    <t>html_render</t>
  </si>
  <si>
    <t>Notes / Open Questions</t>
  </si>
  <si>
    <t>Typing Tool (PRISM segmentation model)</t>
  </si>
  <si>
    <t>ROI Algorithm</t>
  </si>
  <si>
    <t>Sample Router (DQMA)</t>
  </si>
  <si>
    <t>INTRODUCTIONS/HEADERS/TEXT ELEMENTS</t>
  </si>
  <si>
    <t xml:space="preserve">❌ </t>
  </si>
  <si>
    <t>intro_1</t>
  </si>
  <si>
    <t>Page 1</t>
  </si>
  <si>
    <t>Thanks for taking part. This survey helps us understand how people think about health care and public policy today. There are no right or wrong answers—we’re interested in your point of view. Let’s begin.</t>
  </si>
  <si>
    <t>intro</t>
  </si>
  <si>
    <t>??</t>
  </si>
  <si>
    <t>[NEXT] button text: 'READY, SET, GO!"</t>
  </si>
  <si>
    <t>NATIVE</t>
  </si>
  <si>
    <t>Required</t>
  </si>
  <si>
    <t>—</t>
  </si>
  <si>
    <t>[NEXT] button text: 'LET'S GO!"</t>
  </si>
  <si>
    <t>intro_typing</t>
  </si>
  <si>
    <t>Page 3 &amp; Page 11</t>
  </si>
  <si>
    <t>In this section we’ll ask about a mix of political and social issues. Some questions may feel personal, and some statements you may agree with strongly and others not so much. Always just go with your first, honest reaction. 
You’ll see a series of cards, each with [four / five] statements. On each card, choose the one that sounds most like you and the one that sounds least like you.
Some statements may show up again—that’s intentional. There are no right or wrong answers. Go with the statement that feels most true—and most familiar—to you.</t>
  </si>
  <si>
    <t>Display gate: shown to ALL respondents before typing MaxDiff. No data collected.</t>
  </si>
  <si>
    <t>intro_inf360</t>
  </si>
  <si>
    <t>Page 22</t>
  </si>
  <si>
    <t>PRISM SCREENERS</t>
  </si>
  <si>
    <t>qvote</t>
  </si>
  <si>
    <t>Are you registered to vote?</t>
  </si>
  <si>
    <t>YES (r1)
NO (r2)</t>
  </si>
  <si>
    <t>HORIZONTAL.RADIO</t>
  </si>
  <si>
    <t>&lt;radio&gt; + atmtable.6</t>
  </si>
  <si>
    <t>btn_css radius:50%</t>
  </si>
  <si>
    <t>TERM if value=2 (No)</t>
  </si>
  <si>
    <t>❌ Need atmtable.6</t>
  </si>
  <si>
    <t>2-3 options. System Outline Table 1 confirms TERMINATE on "No"</t>
  </si>
  <si>
    <t>SCREEN: qvote=r3 (not registered) → terminate per Routing rule. Panel screener.</t>
  </si>
  <si>
    <t>qzip</t>
  </si>
  <si>
    <t>Please enter your 5-digit ZIP Code</t>
  </si>
  <si>
    <t>The Zip Code of your primary residence where you are registered to vote</t>
  </si>
  <si>
    <t>[OE]</t>
  </si>
  <si>
    <t>DIGITBOXES</t>
  </si>
  <si>
    <t>&lt;text&gt; + custom JS</t>
  </si>
  <si>
    <t>Auto-advance focus</t>
  </si>
  <si>
    <t>MINIMAL</t>
  </si>
  <si>
    <t>5-digit numeric; size="5"</t>
  </si>
  <si>
    <t>TERM if PNTA (writes 00000)</t>
  </si>
  <si>
    <t>r? (PNTA)</t>
  </si>
  <si>
    <t>links to file to match:
state 
division (Census 15 divisions)
region (Census 4 region)
congress (district:ST-00)
ruca (ruca urbanicity code:00.00)
houserep (house member:Rep. XX XX)
senator1 (senior senator:Sen. XX XX)
senator2 (junior senator :Sen. XX XX)</t>
  </si>
  <si>
    <t>❌ Need digitbox JS</t>
  </si>
  <si>
    <t>PNTA writes 00000. Needs custom JS for digit-box auto-advance</t>
  </si>
  <si>
    <t>SCREEN: Lookup → state, division, region, congress_dist. Used for geographic quota balancing and client reporting. Not consumed by DQMA algorithm but stored for weighting.</t>
  </si>
  <si>
    <t>qage</t>
  </si>
  <si>
    <t>What is your age?</t>
  </si>
  <si>
    <t>Tell us how old you are. (We won’t tell)</t>
  </si>
  <si>
    <t>Reuses ZIP pattern</t>
  </si>
  <si>
    <t>2-digit numeric; min=18 max=99; size="3"</t>
  </si>
  <si>
    <t>TERM if PNTA (writes 00)</t>
  </si>
  <si>
    <t>agecat (1=18-29, 2=30-44; 3=45-54; 4=55-64; 5=65+)</t>
  </si>
  <si>
    <t>PNTA writes 00. Reuses ZIP JS pattern</t>
  </si>
  <si>
    <t>SCREEN: qage &lt; 18 → terminate. agecat recode used for demographic quota balancing.</t>
  </si>
  <si>
    <t>qgender</t>
  </si>
  <si>
    <t>Which of the following best describes your gender?</t>
  </si>
  <si>
    <t>MALE (r1)
FEMALE (r2)
OTHER (r3)</t>
  </si>
  <si>
    <t>Images in &lt;col&gt;</t>
  </si>
  <si>
    <t>TERM if PNTA</t>
  </si>
  <si>
    <t>r4 (PNTA)</t>
  </si>
  <si>
    <t>❌ Need atmtable.6 w/ images</t>
  </si>
  <si>
    <t>Male/Female/Other + PNTA. System Outline Table 4</t>
  </si>
  <si>
    <t>SCREEN: Used for demographic quota balancing. Study-specific requirements (e.g., PREG routes on gender + PR1).</t>
  </si>
  <si>
    <t>q2024vote</t>
  </si>
  <si>
    <t>Who did you vote for in the latest (2024) Presidential election?</t>
  </si>
  <si>
    <t>Donald J Trump (R) (r1)
Kamala Harris (D) (r2)
Another Candidate (r3)
I didn’t have the chance to vote in this election (r4)</t>
  </si>
  <si>
    <t>CUSTOM.BALLOT</t>
  </si>
  <si>
    <t>row_dividers, custom btn_css</t>
  </si>
  <si>
    <t>CUSTOM</t>
  </si>
  <si>
    <t>TERM if "I did not have the chance to vote" or PTNA</t>
  </si>
  <si>
    <t>r5 (PNTA)</t>
  </si>
  <si>
    <t>❌ Need CUSTOM render</t>
  </si>
  <si>
    <t>Trump(R)→GOP model, Harris(D)→DEM model, Someone else→use PARTYID. Table 5</t>
  </si>
  <si>
    <t>MODEL ROUTING: q2024vote determines party model assignment.
r1 (Trump) → GOP model (maxdiff_gop, 10 segments)
r2 (Harris) → DEM model (maxdiff_dem, 6 segments)
r3/r4/r5 → routed by qparty1/qparty2/qparty3 fallback chain.</t>
  </si>
  <si>
    <t>DQMA receives segment_id (1–16) from typing tool. Does not directly consume vote variable, but segment implies party model.</t>
  </si>
  <si>
    <t>qparty1</t>
  </si>
  <si>
    <t>In politics today, do you consider yourself a…?</t>
  </si>
  <si>
    <t>Republican (r1)
Democrat (r2)
Independent/Other (r3)</t>
  </si>
  <si>
    <t>CUSTOM.PARTYID</t>
  </si>
  <si>
    <t xml:space="preserve">TERM if PNTA </t>
  </si>
  <si>
    <t>Republican/Democrat/Independent-Other/PNTA. Table 6</t>
  </si>
  <si>
    <t>MODEL ROUTING FALLBACK: For q2024vote ≠ r1,r2. qparty1=r1 (Republican) → GOP model. qparty1=r2 (Democrat) → DEM model. qparty1=r3 (Independent) → qparty3 lean.</t>
  </si>
  <si>
    <t>qparty2</t>
  </si>
  <si>
    <t>Would you say you are a strong or not-so-strong [R/D]?</t>
  </si>
  <si>
    <t xml:space="preserve">Strong (r1)
Not-so-strong (r2)
</t>
  </si>
  <si>
    <t>btn_css radius:30px</t>
  </si>
  <si>
    <t>QPARTY1=Republican OR Democrat</t>
  </si>
  <si>
    <t>❌ Need atmtable.6 pill</t>
  </si>
  <si>
    <t>Strong R (1), Not-so-strong R (2), Strong D (6), Not-so-strong D (7). Table 6</t>
  </si>
  <si>
    <t>Strength measure. Not used for model routing. Stored for analysis.</t>
  </si>
  <si>
    <t>qparty3</t>
  </si>
  <si>
    <t>Do you lean towards the Republican or Democratic Party?</t>
  </si>
  <si>
    <t>Republican (r1)
Democrat (r2)
I do not lean toward either party (r3)</t>
  </si>
  <si>
    <t>QPARTY1=Independent/Other</t>
  </si>
  <si>
    <t>qparty (1=Strong Republican; 2=Not-so-strong Republican; 3=Lean Republican; 4=Independent/Other; 5=Lean Democrat; 6=Not-so-strong Democrat; 7=Strong Democrat)</t>
  </si>
  <si>
    <t>conditional var:
IF (VOTE2024=TRUMP) AND (PARTY&lt;5) TYPING.MODEL=GOPMODEL;
 IF (VOTE2024=TRUMP) AND (PARTY&gt;4) TYPING.MODEL=GOPMODEL AND DEMMODEL; 
IF (VOTE2024=HARRIS) AND (PARTY&lt;4) TYPING.MODEL=GOPMODEL AND DEMMODEL; 
IF (VOTE2024=HARRIS) AND (PARTY&gt;3) TYPING.MODEL=DEMMODEL;
IF (VOTE2024=OTHER) AND (PARTY&gt;4) TYPING.MODEL= DEMMODEL;
 IF (VOTE2024=OTHER) AND (PARTY&lt;4) TYPING.MODEL= GOPMODEL;
 IF (VOTE2024=OTHER) AND (PARTY=3) TYPING.MODEL=GOPMODEL AND DEMMODEL</t>
  </si>
  <si>
    <t>Lean R (3), Neither (4)→TERM if VOTE24=3, Lean D (5). Table 6</t>
  </si>
  <si>
    <t>FINAL ROUTING FALLBACK: qparty3=r1 (lean R) → GOP model. qparty3=r2 (lean D) → DEM model. qparty3=r3 (no lean) → GOP model (default). Recode: qparty (1–7 scale) stored for analysis.</t>
  </si>
  <si>
    <t>rows</t>
  </si>
  <si>
    <t>Strongly Disagree (c1)
(c2) 
(c3)
Neutral/Unsure (c4)
(c5) 
(cr6) 
Strongly Agree (c7)</t>
  </si>
  <si>
    <t>7PTGRID.PROGRESSIVE</t>
  </si>
  <si>
    <t>NO SHUFFLE</t>
  </si>
  <si>
    <t>vector_industry</t>
  </si>
  <si>
    <t>The federal government should invest extra funds in communities of color that have suffered historic health injustices, even if it means higher taxes</t>
  </si>
  <si>
    <t>vector_justice</t>
  </si>
  <si>
    <t>III. PRISM TYPING TOOL</t>
  </si>
  <si>
    <t>maxdiff_dem</t>
  </si>
  <si>
    <t>Pages 3-10</t>
  </si>
  <si>
    <t>From the set of short statements expressing different points of view about politics, culture and health.</t>
  </si>
  <si>
    <t>Select one statement that sounds MOST like your own point of view, and
the one statement that sounds LEAST like you</t>
  </si>
  <si>
    <t>MOST LIKE ME
LEAST LIKE ME</t>
  </si>
  <si>
    <t>MAXDIFF.DEM</t>
  </si>
  <si>
    <t>&lt;maxdiff&gt; module</t>
  </si>
  <si>
    <t>BIBD rotation</t>
  </si>
  <si>
    <t>Required: MOST + LEAST per set</t>
  </si>
  <si>
    <t>❌ Need &lt;maxdiff&gt; module HTML</t>
  </si>
  <si>
    <t>Custom card CSS. MOST/LEAST paired selection per set</t>
  </si>
  <si>
    <t>CORE INPUT: DEM classification MaxDiff. 8 items × 8 tasks × 4 items/task (BIBD). Produces HB utility scores per item → fed to nearest-centroid classifier in Reduced Typing Tool. ONLY administered if party model = DEM (q2024vote=r2, or qparty chain → DEM).</t>
  </si>
  <si>
    <t>maxdiff_dem_r1</t>
  </si>
  <si>
    <t>Tech and data can improve care, but only if we stop bias, protect privacy, and provide benefits fairly.</t>
  </si>
  <si>
    <t>HB UTILITY INPUT: r1 → rescaled utility → z-standardized → squared Euclidean distance to 6 DEM centroids (cols U–Z in Reduced Typing Tool). Tech equity → loads on Abundance (s=14).</t>
  </si>
  <si>
    <t>maxdiff_dem_r2</t>
  </si>
  <si>
    <t>I trust mainstream experts and prefer step-by-step fixes—strengthening the ACA, not ripping it up.</t>
  </si>
  <si>
    <t>HB UTILITY INPUT: r2 → rescaled utility → z-standardized → squared Euclidean distance to 6 DEM centroids (cols U–Z in Reduced Typing Tool). Mainstream experts/ACA → loads on Incrementalists (s=15).</t>
  </si>
  <si>
    <t>maxdiff_dem_r3</t>
  </si>
  <si>
    <t>Digital tools, AI, and start-ups can universalize care faster than big bureaucracies—let’s remove red tape.</t>
  </si>
  <si>
    <t>HB UTILITY INPUT: r3 → rescaled utility → z-standardized → squared Euclidean distance to 6 DEM centroids (cols U–Z in Reduced Typing Tool). Digital tools/startups → loads on Abundance (s=14).</t>
  </si>
  <si>
    <t>maxdiff_dem_r4</t>
  </si>
  <si>
    <t>Corporate greed hurts ordinary people. Government must crack down on prices, ads, and junk food.</t>
  </si>
  <si>
    <t>HB UTILITY INPUT: r4 → rescaled utility → z-standardized → squared Euclidean distance to 6 DEM centroids (cols U–Z in Reduced Typing Tool). Corporate greed/regulation → loads on Protectionists (s=13).</t>
  </si>
  <si>
    <t>maxdiff_dem_r5</t>
  </si>
  <si>
    <t>Healthcare is a human right. We need Medicare-for-All or something very close to it.</t>
  </si>
  <si>
    <t>HB UTILITY INPUT: r5 → rescaled utility → z-standardized → squared Euclidean distance to 6 DEM centroids (cols U–Z in Reduced Typing Tool). Medicare-for-All → loads on Idealists (s=11).</t>
  </si>
  <si>
    <t>maxdiff_dem_r6</t>
  </si>
  <si>
    <t>Unions fought for good coverage. Policy should protect employer benefits and bargaining power.</t>
  </si>
  <si>
    <t>HB UTILITY INPUT: r6 → rescaled utility → z-standardized → squared Euclidean distance to 6 DEM centroids (cols U–Z in Reduced Typing Tool). Union coverage → loads on Protectionists (s=13).</t>
  </si>
  <si>
    <t>maxdiff_dem_r7</t>
  </si>
  <si>
    <t>Racism and inequality drive poor health. Equity must be built into every health decision and budget.</t>
  </si>
  <si>
    <t>HB UTILITY INPUT: r7 → rescaled utility → z-standardized → squared Euclidean distance to 6 DEM centroids (cols U–Z in Reduced Typing Tool). Racism/equity → loads on Progressives (s=12).</t>
  </si>
  <si>
    <t>maxdiff_dem_r9</t>
  </si>
  <si>
    <t>My faith calls me to fight for the poor and for broader access—especially in under-served communities.</t>
  </si>
  <si>
    <t>HB UTILITY INPUT: r9 → rescaled utility → z-standardized → squared Euclidean distance to 6 DEM centroids (cols U–Z in Reduced Typing Tool). Faith/access → loads on Progressives (s=12).</t>
  </si>
  <si>
    <t>maxdiff_gop</t>
  </si>
  <si>
    <t>Pages 11-20</t>
  </si>
  <si>
    <t>MAXDIFF.GOP</t>
  </si>
  <si>
    <t>CORE INPUT: GOP classification MaxDiff. 12 items × 10 tasks × 5 items/task (BIBD). Produces HB utility scores per item → fed to nearest-centroid classifier in Reduced Typing Tool. ONLY administered if party model = GOP (q2024vote=r1, or qparty chain → GOP).</t>
  </si>
  <si>
    <t>maxdiff_gop_r1</t>
  </si>
  <si>
    <t>Government should stay small but defend marriage, family life, and personal responsibility.</t>
  </si>
  <si>
    <t>HB UTILITY INPUT: r1 → rescaled utility → z-standardized → squared Euclidean distance to 10 GOP centroids (cols U–AD in Reduced Typing Tool). Small govt/family → loads on Traditional Conservatives (s=3).</t>
  </si>
  <si>
    <t>Big pharma and big agribusiness can’t be trusted; local food and local control are healthier.</t>
  </si>
  <si>
    <t>HB UTILITY INPUT: r2 → rescaled utility → z-standardized → squared Euclidean distance to 10 GOP centroids (cols U–AD in Reduced Typing Tool). Pharma distrust/local → loads on Holistic Health Naturalists (s=2).</t>
  </si>
  <si>
    <t>maxdiff_gop_r4</t>
  </si>
  <si>
    <t>Small-town hospitals keep closing. Government must improve access to care for rural America.</t>
  </si>
  <si>
    <t>HB UTILITY INPUT: r4 → rescaled utility → z-standardized → squared Euclidean distance to 10 GOP centroids (cols U–AD in Reduced Typing Tool). Rural hospitals → loads on Price Populists (s=5).</t>
  </si>
  <si>
    <t>maxdiff_gop_r5</t>
  </si>
  <si>
    <t>Vaccines are unsafe, full stop. No one should be forced or pressured to take them.</t>
  </si>
  <si>
    <t>HB UTILITY INPUT: r5 → rescaled utility → z-standardized → squared Euclidean distance to 10 GOP centroids (cols U–AD in Reduced Typing Tool). Vaccine unsafe → loads on Vaccine Skeptics (s=8).</t>
  </si>
  <si>
    <t>maxdiff_gop_r7</t>
  </si>
  <si>
    <t>Modern medicine ignores the whole person. Natural and alternative therapies deserve equal respect and coverage.</t>
  </si>
  <si>
    <t>HB UTILITY INPUT: r7 → rescaled utility → z-standardized → squared Euclidean distance to 10 GOP centroids (cols U–AD in Reduced Typing Tool). Natural therapies → loads on Wellness Evangelists (s=6).</t>
  </si>
  <si>
    <t>maxdiff_gop_r8</t>
  </si>
  <si>
    <t>Clean, whole-food living—not pills—keeps us healthy. The system ignores it because there’s no profit in it.</t>
  </si>
  <si>
    <t>HB UTILITY INPUT: r8 → rescaled utility → z-standardized → squared Euclidean distance to 10 GOP centroids (cols U–AD in Reduced Typing Tool). Whole-food living → loads on Holistic Health Naturalists (s=2).</t>
  </si>
  <si>
    <t>maxdiff_gop_r9</t>
  </si>
  <si>
    <t>Human beings thrive on meat-heavy, low-carb diets. Government guidelines are junk science.</t>
  </si>
  <si>
    <t>HB UTILITY INPUT: r9 → rescaled utility → z-standardized → squared Euclidean distance to 10 GOP centroids (cols U–AD in Reduced Typing Tool). Meat/low-carb → loads on Paleo Freedom Fighters (s=4).</t>
  </si>
  <si>
    <t>maxdiff_gop_r10</t>
  </si>
  <si>
    <t>We must protect U.S. patients, workers, and supply chains first. Foreign competition and immigration come second.</t>
  </si>
  <si>
    <t>HB UTILITY INPUT: r10 → rescaled utility → z-standardized → squared Euclidean distance to 10 GOP centroids (cols U–AD in Reduced Typing Tool). America first/supply chains → loads on Price Populists (s=5).</t>
  </si>
  <si>
    <t>maxdiff_gop_r11</t>
  </si>
  <si>
    <t>Free markets work best, but I defer to FDA and CDC experts on safety and innovation.</t>
  </si>
  <si>
    <t>HB UTILITY INPUT: r11 → rescaled utility → z-standardized → squared Euclidean distance to 10 GOP centroids (cols U–AD in Reduced Typing Tool). Free markets + FDA/CDC → loads on Trust The Science Pragmatists (s=10).</t>
  </si>
  <si>
    <t>maxdiff_gop_r12</t>
  </si>
  <si>
    <t>Competition—private insurance, transparent prices, fewer rules—is the key to cheaper, better care.</t>
  </si>
  <si>
    <t>HB UTILITY INPUT: r12 → rescaled utility → z-standardized → squared Euclidean distance to 10 GOP centroids (cols U–AD in Reduced Typing Tool). Competition/transparency → loads on Consumer Empowerment Champions (s=1).</t>
  </si>
  <si>
    <t>qvector4</t>
  </si>
  <si>
    <t>Page 21</t>
  </si>
  <si>
    <t>Tell us how much you agree or disagree with these statements</t>
  </si>
  <si>
    <t>Tap where you fall on each statement...</t>
  </si>
  <si>
    <t>col_legend_text anchors</t>
  </si>
  <si>
    <t>DEM model path only</t>
  </si>
  <si>
    <t>POST-MAXDIFF VECTOR BATTERY: Supplementary items asked after MaxDiff. Recodes feed typing classifier alongside HB utilities.</t>
  </si>
  <si>
    <t>qvector4_r1</t>
  </si>
  <si>
    <t>Recode → vector_justice. Fed to Reduced Typing Tool row 2: Z = (raw − 5.009) / 1.284. Squared distance to each centroid. Discriminates Progressives (s=12) from Incrementalists (s=15).</t>
  </si>
  <si>
    <t>qvector4_r2</t>
  </si>
  <si>
    <t>Big corporations have too much influence over public health policies</t>
  </si>
  <si>
    <t>Recode → vector_industry. Fed to Reduced Typing Tool row 3: Z = (raw − 5.631) / 1.021. Squared distance to each centroid. Discriminates Protectionists (s=13) from Abundance (s=14).</t>
  </si>
  <si>
    <t>r3 (PNTA=99)</t>
  </si>
  <si>
    <t>btn_css width:100%</t>
  </si>
  <si>
    <t>❌ Need atmtable.6 full-width</t>
  </si>
  <si>
    <t>VERTICAL.RADIO</t>
  </si>
  <si>
    <t>V. INFLUENCE360</t>
  </si>
  <si>
    <t>qinf360</t>
  </si>
  <si>
    <t>Page 23</t>
  </si>
  <si>
    <t>How have you made your voice heard?</t>
  </si>
  <si>
    <t>Select all that apply. At the end, you'll see your Influence Compass.</t>
  </si>
  <si>
    <t>(r1) I've worked inside government, held office, or staffed those who do
(r2) I've helped decide who runs for office or who gets hired in political or government roles
(r3) I advise organizations, sit on boards, or have testified on policy matters
(r4) I've written, spoken publicly, or published on issues
(r5) I've organized people, worked campaigns, or rallied others to action
(r6) I vote, follow current events, and stay involved in my community</t>
  </si>
  <si>
    <t>CHECKLIST</t>
  </si>
  <si>
    <t>&lt;checkbox&gt; + atmtable.6</t>
  </si>
  <si>
    <t>Multi-select buttons</t>
  </si>
  <si>
    <t>qinf360.r1</t>
  </si>
  <si>
    <t>r7 (None=exclusive)</t>
  </si>
  <si>
    <t>✅ Have (as default checkbox)
❌ Need atmtable.6</t>
  </si>
  <si>
    <t>6 items: Elite/Recruit/Org/Media/Mobilize/Citizen + None. Each routes to INF2_x. Table 14</t>
  </si>
  <si>
    <t>ACTIVATION GATEWAY: Multi-select checklist. Each checked item routes to follow-up grid (eliteup, recruitup, orglat, medialat, down). Checked items → L2/L3 flag potential.</t>
  </si>
  <si>
    <t>qinf360_eliteup</t>
  </si>
  <si>
    <t>Page 24</t>
  </si>
  <si>
    <t>Which of these have you done?</t>
  </si>
  <si>
    <t xml:space="preserve">(r1) Held elected office
(r2) Been a paid staffer or advisor to an elected official or gov’t agency
(r3) Held an elected or appointed role in a party committee
(r4) Contacted an elected official or their staff </t>
  </si>
  <si>
    <t>qinf360.r2</t>
  </si>
  <si>
    <t>❌ Need atmtable.6 checkbox</t>
  </si>
  <si>
    <t>5 sub-batteries, 2-4 items each. Conditional on parent INF_types selection. Tables 14 rows 8-31+</t>
  </si>
  <si>
    <t>BCS INPUT → L2 + L3 flags.
r1 (held office) → L3=1
r2 (staffer/advisor) → L3=1
r3 (appointed position) → L3=1
r4 (testified/advisory board) → L2=1
BCS formula: L2 wt=0.45, L3 wt=0.30.
BCS_CONTR = BCS × 15 → ACTIVATION (0–15 pts).</t>
  </si>
  <si>
    <t>qinf360_recruitup</t>
  </si>
  <si>
    <t>(r1) Helped recruit a candidate to run for public office
(r2) Helped recruit staff for a political campaign, office of an elected official, or other political appointee</t>
  </si>
  <si>
    <t>qinf360.r3</t>
  </si>
  <si>
    <t>BCS INPUT → L3 flags.
r1 (recruited candidate) → L3=1
r2 (recruited staff) → L3=1
L3 weight in BCS = 0.30.</t>
  </si>
  <si>
    <t>qinf360_orglat</t>
  </si>
  <si>
    <t>(r1) Met (in person or video) with congressional, agency, or state legislative staff 
(r2) Sat on the board or executive committee of any health, policy, or business association?
(r3) Worked with or advised a Washington-based organization (think tank, patient advocacy group, trade association)
(r4) Testified or submitted written comments to a state legislative or Congressional committee</t>
  </si>
  <si>
    <t>qinf360.r4</t>
  </si>
  <si>
    <t>BCS INPUT → L2 + L3 flags.
r1 (met with staff) → L2=1
r2 (advisory/board) → L3=1
r3 (authored op-ed) → L3=1
r4 (organized event) → L3=1</t>
  </si>
  <si>
    <t>qinf360_medialat</t>
  </si>
  <si>
    <t>(r1) Spoke at a public meeting, podcast, webinar, church or civic group on a health topic
(r2) Wrote an article, blog post, Substack, or op-ed on an issue</t>
  </si>
  <si>
    <t>qinf360.r5</t>
  </si>
  <si>
    <t>BCS INPUT → L3 flags.
r1 (spoke publicly) → L3=1
r2 (wrote op-ed/letter) → L3=1</t>
  </si>
  <si>
    <t>qinf360_down</t>
  </si>
  <si>
    <t>(r1) Volunteered on a political campaign
(r2) Organized an event or rally on any issue</t>
  </si>
  <si>
    <t>qinf360.r6</t>
  </si>
  <si>
    <t>BCS INPUT → L2 + L3.
r1 (volunteered on campaign) → L2=1
r2 (organized event/rally) → L3=1</t>
  </si>
  <si>
    <t>qlowinf</t>
  </si>
  <si>
    <t>In the past 12 months, have you taken any of the following actions related to a public policy issue?</t>
  </si>
  <si>
    <t>(r1) Signed a petition
(r2) Attended a meeting
(r3) Donated money</t>
  </si>
  <si>
    <t>r4 (None=exclusive)</t>
  </si>
  <si>
    <t>BCS INPUT → L1 flag.
r1 (petition) → L1=1
r2 (meeting) → L1=1
r3 (donated) → L1=1
L1 weight in BCS = 0.15.
DATA GAP: Only in AL/VAX/VICP.</t>
  </si>
  <si>
    <t>qtot_followers</t>
  </si>
  <si>
    <t xml:space="preserve">Across all your public social-media accounts about how many followers or subscribers do you have in total? </t>
  </si>
  <si>
    <t>Including from X/Twitter, Instagram, TikTok, Facebook pages, Substack, podcast, YouTube, etc.</t>
  </si>
  <si>
    <t>0 None
&lt;500
500-2,000
2,000-10,000
10,000-50,000
50,000 +</t>
  </si>
  <si>
    <t>STYLE.BUTTONSELECT</t>
  </si>
  <si>
    <t>r7 (PNTA)</t>
  </si>
  <si>
    <t>VALIDATION: Not in BCS formula. Used for OverclaimFlag — if followers=0 but SOCIALINF reports high activity → flag. Also REACH_wgt for client reporting.</t>
  </si>
  <si>
    <t>qsocialinfluence</t>
  </si>
  <si>
    <t>How many times over the past 30 days have you…</t>
  </si>
  <si>
    <t>Across any social media platform you use (Facebook, X, LinkedIn, TikTok, or others), Approximately how many times have you done any of the following to advocate on a public policy issue?</t>
  </si>
  <si>
    <t>(c1) Never [VALUE=0]
(c2) Not in the past 30 days [VALUE=0]
(c3) One time [VALUE=1]
(c4) 2-4 times [VALUE=3]
(c5) 5 or more times [VALUE=6]</t>
  </si>
  <si>
    <t>(r1) Shared or reposted content
(r2) Commented or replied on posts 
(r3) Created an original post or video 
(r4) For quality control purposes, select the "One time" response option</t>
  </si>
  <si>
    <t>STYLE.BUTTON.CARDSHUFFLE.</t>
  </si>
  <si>
    <t>Multi-row, row_dividers</t>
  </si>
  <si>
    <t>Required per row; 
qsocialinfluence.r4=attentionflag</t>
  </si>
  <si>
    <t>BCS INPUT → L0 (social amplification).
Recode: 1→0, 2→0, 3→1, 5→3, 7→6.
L0 = sum(recoded r1,r2,r3)/18, cap 1.0. L0 wt=0.10.
r4 = attention trap → OverclaimFlag.
Any r=7 → ARS boost eligible (×1.15).
DATA GAP: Only in AL/VAX/VICP.</t>
  </si>
  <si>
    <t>STYLE.RADIO.VERTICAL</t>
  </si>
  <si>
    <t>STYLE.RADIO.HORIZONTAL</t>
  </si>
  <si>
    <t>STYLE.BUTTON.HORIZONTAL</t>
  </si>
  <si>
    <t>XIII. DEMOGRAPHICS</t>
  </si>
  <si>
    <t>qmaha_aware</t>
  </si>
  <si>
    <t xml:space="preserve">How familiar are you with the term ‘MAHA’ (Make America Healthy Again)? </t>
  </si>
  <si>
    <t xml:space="preserve">r1	Very Familiar
r2	Somewhat Familiar
r3 Aware, but not sure what it means
r4	Heard of it, but know nothing about it
r5	Never heard of it
</t>
  </si>
  <si>
    <t>atmtable.6</t>
  </si>
  <si>
    <t>PTNA r6</t>
  </si>
  <si>
    <t>5-pt familiarity. Table 54</t>
  </si>
  <si>
    <t>CONTEXT: MAHA awareness/perception. Not in ROI formula. Used for segment cross-tab and political orientation profiling.</t>
  </si>
  <si>
    <t>qmaha_percep</t>
  </si>
  <si>
    <t xml:space="preserve">When you hear the term MAHA, what does it most closely represent to you? </t>
  </si>
  <si>
    <t xml:space="preserve">(r1) A movement focused on food quality, nutrition, and chronic disease"
(r2) A broader critique of drug and food companies, and the health system"
(r3) A political slogan more than a real movement
(r4) A personal health or lifestyle philosophy
(r5) A fringe or extreme health movement
(r6) The movement around Robert F. Kennedy, Jr."
(r7) The health movement led by Donald Trump
(r8) Something unclear or hard to define
(r9) Something else </t>
  </si>
  <si>
    <t>MAHA_AWARE=1,2,3</t>
  </si>
  <si>
    <t>Not Sure 99</t>
  </si>
  <si>
    <t>10 options + OE + Not sure. Table 55</t>
  </si>
  <si>
    <t>qmaha_impression</t>
  </si>
  <si>
    <t>Overall, what is your impression of the MAHA movement or idea?</t>
  </si>
  <si>
    <t>Very UNfavorable (c1)
Somewhat unfavorable(c2) 
Neutral/Unsure (c3)
Somewhat favorable(c4) 
Very Favorable(c5)</t>
  </si>
  <si>
    <t xml:space="preserve">PTNA </t>
  </si>
  <si>
    <t>5-pt: Very positive…Very negative. Table 56</t>
  </si>
  <si>
    <t>qmaha_id</t>
  </si>
  <si>
    <t>Which best describes your relationship to the MAHA label?</t>
  </si>
  <si>
    <t>(r1) I am a member of the national organization
(r2) I strongly identify with it 
(r3) I somewhat identify with it
(r4) I agree with some of the ideas, but wouldn’t identify with it"
(r5) I’ve heard of it, but don’t relate to it"
(r6) I disagree with it
(r7) I’m unfamiliar with it</t>
  </si>
  <si>
    <t>PTNA</t>
  </si>
  <si>
    <t>7 options from member to unfamiliar. Table 57</t>
  </si>
  <si>
    <t xml:space="preserve">d2 </t>
  </si>
  <si>
    <t>Are you of Hispanic or Latino background?</t>
  </si>
  <si>
    <t>(r1) YES
(r2) NO</t>
  </si>
  <si>
    <t>SYSMIS (PNTA)</t>
  </si>
  <si>
    <t>Yes/No/PNTA. Table 45</t>
  </si>
  <si>
    <t>DEMOGRAPHIC: Feeds RACEETHNIC recode (with d3). Used for demographic quota balancing and weighting.</t>
  </si>
  <si>
    <t xml:space="preserve">d3 </t>
  </si>
  <si>
    <t>Which best describes your race?</t>
  </si>
  <si>
    <t>(r1) White
(r2) Black
(r3) Asian
(r4) Other [OE SPECIFY]</t>
  </si>
  <si>
    <t>RACEETHNIC:
1=White Non-Hispanic
2=Black Non-Hispanic
3=Asian/Other Non-Hispanic
4=Hispanic</t>
  </si>
  <si>
    <t>White/Black/Asian/Other(OE)/PNTA. Table 46. RACE_ETHNIC collapse in Table 47</t>
  </si>
  <si>
    <t>DEMOGRAPHIC: Combined with d2 → RACEETHNIC (1=White NH, 2=Black NH, 3=Asian/Other NH, 4=Hispanic). Quota balancing and weighting.</t>
  </si>
  <si>
    <t>vet</t>
  </si>
  <si>
    <t xml:space="preserve">Have you ever served active duty in the U.S. Armed Forces, Reserves, or National Guard? </t>
  </si>
  <si>
    <t>(r1) YES - ACTIVE DUTY
(r2) YES - VETERAN
(r3) NO</t>
  </si>
  <si>
    <t>r4 (PNTA=99)</t>
  </si>
  <si>
    <t>Currently/Retired/No/PNTA. Table 48</t>
  </si>
  <si>
    <t>DEMOGRAPHIC: Veteran status. Reporting variable. Not quota-managed.</t>
  </si>
  <si>
    <t>union</t>
  </si>
  <si>
    <t xml:space="preserve">Are you currently, or have you ever been, part of a labor union? </t>
  </si>
  <si>
    <t>Yes/No/PNTA. Table 49</t>
  </si>
  <si>
    <t>DEMOGRAPHIC: Union membership. Reporting variable. Not quota-managed.</t>
  </si>
  <si>
    <t>edu</t>
  </si>
  <si>
    <t>Please indicate the highest level of school you completed or the highest degree you have received…</t>
  </si>
  <si>
    <t>1	Did not finish high school
2	High school diploma or GED
3	Some college credit, no degree
4	Trade/technical/vocational training
5	Associate’s degree
6	Bachelor’s degree
7	Master’s degree
8	Professional degree (e.g., JD, MD)
9	Doctorate degree (PhD)</t>
  </si>
  <si>
    <t>DROPDOWN</t>
  </si>
  <si>
    <t>r10 (PNTA=99)</t>
  </si>
  <si>
    <t>EDUCAT: 
1=	HIGH SCHOOL GRADUATE  [edu=1, 2]
2=	SOME COLLEGE [edu=3, 4, 5]
3=	BACHELORS DEGREE [edu=6]
4=	GRADUATE OR PROFESSIONAL DEGREE [edu=7, 8, 9]</t>
  </si>
  <si>
    <t>9 categories + PNTA. Table 50. EDU_CAT collapse rows 12-18</t>
  </si>
  <si>
    <t>DEMOGRAPHIC: Education → EDUCAT recode (1–4). Used for demographic quota balancing and weighting.</t>
  </si>
  <si>
    <t>rel</t>
  </si>
  <si>
    <t>What is your present religion, if any?</t>
  </si>
  <si>
    <t>1	Protestant
2	Roman Catholic
3	LDS/Mormon
4	Orthodox, such as Greek or Russian Orthodox
5	Jewish
6	Muslim
7	Buddhist
8	Hindu
9	Atheist
10	Agnostic
11	Something else
12	Nothing in particular</t>
  </si>
  <si>
    <t>r13 (PNTA=99)</t>
  </si>
  <si>
    <t>12 options + PNTA. Table 51. REL_CAT collapse in Table 52</t>
  </si>
  <si>
    <t>DEMOGRAPHIC: Religion. Combined with evangel + race → RELCAT. Reporting variable.</t>
  </si>
  <si>
    <t>evangel</t>
  </si>
  <si>
    <t xml:space="preserve">Would you describe yourself a born-again or evangelical Christian, or not? </t>
  </si>
  <si>
    <t>REL=1 (Protestant)</t>
  </si>
  <si>
    <t>RELCAT:
1=	WHITE EVANGELICAL  [EVANGEL=1 AND RACE=1]
2=	BLACK PROTESTANT [REL=1 AND RACE=2]
3=	WHITE MAINLINE PROTESTANT [EVANGEL=2 AND RACE=1]
4=	CATHOLIC [REL=2]
5=	JEWISH [REL=5
6=	OTHER  [REL=3,6,7,8,11]
7=	NONE  [REL=9,10,12]</t>
  </si>
  <si>
    <t>Yes/No/PNTA. Table 52</t>
  </si>
  <si>
    <t>DEMOGRAPHIC: Evangelical identity → RELCAT recode (1–7). White Evangelical is key political subgroup. Reporting.</t>
  </si>
  <si>
    <t>income</t>
  </si>
  <si>
    <t>Last year – that is, in 2024 – what was your total family income from all sources, before taxes…</t>
  </si>
  <si>
    <t>"Less than $10,000"
"$10,000 - $19,999"
"$20,000 - $29,999"
"$30,000 – $39,999"
"$40,000 – $49,999"
"$50,000 – $59,999"
"$60,000 – $69,999"
"$70,000 – $79,999"
"$80,000 – $89,999"
"$90,000 – $99,999"
"$100,000 – $124,999"
"$125,000 - $149,999"
"$150,000 - $199,999"
"$200,000 -499,999"
"$500,000 or more"</t>
  </si>
  <si>
    <t>r15 (PNTA=99)</t>
  </si>
  <si>
    <t>HHI:
1=	&lt;$20K
2=	$20-50K
3=	$50-100K
4=	$100-150K
5=	&gt;$150K</t>
  </si>
  <si>
    <t>14 brackets ($&lt;10K to $200K+) + PNTA. Table 53. D23A collapse rows 16-21</t>
  </si>
  <si>
    <t>DEMOGRAPHIC: Household income → HHI recode (1–5). Quota balancing and weighting.</t>
  </si>
  <si>
    <t>XIV. VALIDATION / CLOSE</t>
  </si>
  <si>
    <t>optin</t>
  </si>
  <si>
    <t>Would you be willing to be contacted in the next few weeks to potentially help with this issue?</t>
  </si>
  <si>
    <t>For example, being invited to a short briefing, asked to review a message, or offered an optional action step?</t>
  </si>
  <si>
    <t>Def yes/Prob yes/Prob no/Def no. Table 58 / para 175-180</t>
  </si>
  <si>
    <t>MOBILIZATION VALIDATION: Opt-in for follow-up contact. Behavioral confirmation of stated activation intent. optin=r1|r2 (def yes/prob yes) → validates ARS score. Can be used as dependent variable in SPSS ACTPROB logistic regression.</t>
  </si>
  <si>
    <t>optin_email</t>
  </si>
  <si>
    <t>Please provide your email address and/or mobile telephone number so that we might contact you within the next few weeks about this issue. 
You are under no obligation and your contact information will only be used for this purpose and will not be shared.</t>
  </si>
  <si>
    <t>EMAIL</t>
  </si>
  <si>
    <t>&lt;text&gt; verify.email</t>
  </si>
  <si>
    <t>Native input</t>
  </si>
  <si>
    <t>OPTIN=1 or 2 (Def/Prob yes)</t>
  </si>
  <si>
    <t>verify.email</t>
  </si>
  <si>
    <t>❌ Need text input render</t>
  </si>
  <si>
    <t>Para 188</t>
  </si>
  <si>
    <t>PII: Email for follow-up contact. Stored separately from survey data. Used for mobilization outreach if optin=r1|r2.</t>
  </si>
  <si>
    <t>optin_phone</t>
  </si>
  <si>
    <t>PHONE</t>
  </si>
  <si>
    <t>&lt;text&gt; verify US Phone</t>
  </si>
  <si>
    <t>OPTIN=1 or 2</t>
  </si>
  <si>
    <t>Optional; verify US phone</t>
  </si>
  <si>
    <t>Optional. Para 190</t>
  </si>
  <si>
    <t>PII: Phone for follow-up. Same as row 157.</t>
  </si>
  <si>
    <t>optin_consent</t>
  </si>
  <si>
    <t>I agree to be contacted about this issue in the next few weeks. I understand participation is optional and I can decline at any time</t>
  </si>
  <si>
    <t>CONSENTBOX</t>
  </si>
  <si>
    <t>Single checkbox</t>
  </si>
  <si>
    <t>Required if shown</t>
  </si>
  <si>
    <t>❌ Need single checkbox render</t>
  </si>
  <si>
    <t>Para 192</t>
  </si>
  <si>
    <t>Consent confirmation for follow-up contact. Gate for mobilization outreach.</t>
  </si>
  <si>
    <t>DISPLAY FEATURES (Global)</t>
  </si>
  <si>
    <t>Required — must answer to proceed (this is most questions)</t>
  </si>
  <si>
    <t>Required per row — for grid matrices, every row must have a response</t>
  </si>
  <si>
    <t>At least 1 — for checkbox/multi-select, minimum one selection</t>
  </si>
  <si>
    <t>Optional — can skip (PHONE is the only one I see)</t>
  </si>
  <si>
    <t>verify.email — Decipher's built-in email validation</t>
  </si>
  <si>
    <t>verify.phone — US phone format</t>
  </si>
  <si>
    <t>size=5; numeric — for QZIP (5-digit constraint)</t>
  </si>
  <si>
    <t>min=18; max=99; numeric — for QAGE (range constraint)</t>
  </si>
  <si>
    <t>Exclusive option — for checkboxes where "None of the above" deselects others</t>
  </si>
  <si>
    <t>The questions that follow help us understand how you tend to engage and where your influence shows up. At the end of the survey, we’ll share a snapshot of your influence profile.</t>
  </si>
  <si>
    <t>maxdiff_dem_r10</t>
  </si>
  <si>
    <t>Climate change is a public-health emergency. Clean energy and environmental justice are health policy.</t>
  </si>
  <si>
    <t>maxdiff_dem_r8</t>
  </si>
  <si>
    <t>Reproductive freedom—including abortion access—is non-negotiable and central to health policy.</t>
  </si>
  <si>
    <t>10 tasks × 10 items
BIBD design</t>
  </si>
  <si>
    <t>12 tasks × 12 items
BIBD design</t>
  </si>
  <si>
    <t>maxdiff_gop_r6</t>
  </si>
  <si>
    <t>maxdiff_gop_r2</t>
  </si>
  <si>
    <t>'My body, my choice—whether mandates, supplements, or experimental drugs. Government should butt out.</t>
  </si>
  <si>
    <t>SHOW IN ONE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</si>
</sst>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Arial Nova Light"/>
      <family val="2"/>
    </font>
    <font>
      <u/>
      <sz val="11"/>
      <color theme="10"/>
      <name val="Arial Nova Light"/>
      <family val="2"/>
    </font>
    <font>
      <b/>
      <sz val="10"/>
      <color rgb="FFFFFFFF"/>
      <name val="Arial"/>
      <family val="2"/>
    </font>
    <font>
      <b/>
      <sz val="10"/>
      <color rgb="FFFFFFFF"/>
      <name val="Inter"/>
      <family val="2"/>
    </font>
    <font>
      <b/>
      <sz val="8"/>
      <color rgb="FFFFFFFF"/>
      <name val="Arial Nova Light"/>
      <family val="2"/>
    </font>
    <font>
      <b/>
      <sz val="11"/>
      <color rgb="FF2D6A4F"/>
      <name val="Arial"/>
      <family val="2"/>
    </font>
    <font>
      <sz val="11"/>
      <color theme="1"/>
      <name val="Inter"/>
      <family val="2"/>
    </font>
    <font>
      <sz val="8"/>
      <color theme="1"/>
      <name val="Arial Nova Light"/>
      <family val="2"/>
    </font>
    <font>
      <sz val="8"/>
      <color theme="1"/>
      <name val="Aptos Narrow"/>
      <family val="2"/>
      <scheme val="minor"/>
    </font>
    <font>
      <sz val="9"/>
      <name val="Arial"/>
      <family val="2"/>
    </font>
    <font>
      <sz val="12"/>
      <name val="Fraunces 72pt"/>
    </font>
    <font>
      <sz val="10"/>
      <name val="Inter"/>
      <family val="2"/>
    </font>
    <font>
      <sz val="8"/>
      <name val="Arial Nova Light"/>
      <family val="2"/>
    </font>
    <font>
      <sz val="8"/>
      <name val="Arial"/>
      <family val="2"/>
    </font>
    <font>
      <i/>
      <sz val="9"/>
      <color rgb="FF666666"/>
      <name val="Arial"/>
      <family val="2"/>
    </font>
    <font>
      <sz val="10"/>
      <color theme="1"/>
      <name val="Inter"/>
      <family val="2"/>
    </font>
    <font>
      <b/>
      <sz val="8"/>
      <name val="Arial Nova Light"/>
      <family val="2"/>
    </font>
    <font>
      <b/>
      <sz val="8"/>
      <color rgb="FFC0392B"/>
      <name val="Arial Nova Light"/>
      <family val="2"/>
    </font>
    <font>
      <sz val="9"/>
      <name val="Inter"/>
      <family val="2"/>
    </font>
    <font>
      <sz val="9"/>
      <name val="Fraunces 72pt"/>
    </font>
    <font>
      <u/>
      <sz val="8"/>
      <color theme="10"/>
      <name val="Arial Nova Light"/>
      <family val="2"/>
    </font>
    <font>
      <sz val="8"/>
      <name val="Fraunces 72pt"/>
    </font>
    <font>
      <sz val="12"/>
      <color theme="1"/>
      <name val="Fraunces 72pt"/>
    </font>
    <font>
      <b/>
      <sz val="9"/>
      <name val="Arial Nova Light"/>
      <family val="2"/>
    </font>
    <font>
      <sz val="9"/>
      <color theme="1"/>
      <name val="Fraunces 72pt"/>
    </font>
    <font>
      <sz val="9"/>
      <color theme="1"/>
      <name val="Inter"/>
      <family val="2"/>
    </font>
    <font>
      <sz val="11"/>
      <name val="Fraunces 72pt"/>
    </font>
  </fonts>
  <fills count="12">
    <fill>
      <patternFill patternType="none"/>
    </fill>
    <fill>
      <patternFill patternType="gray125"/>
    </fill>
    <fill>
      <patternFill patternType="solid">
        <fgColor theme="9"/>
        <bgColor indexed="64"/>
      </patternFill>
    </fill>
    <fill>
      <patternFill patternType="solid">
        <fgColor rgb="FF2D6A4F"/>
      </patternFill>
    </fill>
    <fill>
      <patternFill patternType="solid">
        <fgColor rgb="FFA8E2C5"/>
        <bgColor indexed="64"/>
      </patternFill>
    </fill>
    <fill>
      <patternFill patternType="solid">
        <fgColor rgb="FFFDEBD0"/>
      </patternFill>
    </fill>
    <fill>
      <patternFill patternType="solid">
        <fgColor rgb="FFF5F5F5"/>
      </patternFill>
    </fill>
    <fill>
      <patternFill patternType="solid">
        <fgColor rgb="FFE8EAF6"/>
      </patternFill>
    </fill>
    <fill>
      <patternFill patternType="solid">
        <fgColor rgb="FFE8F5E9"/>
      </patternFill>
    </fill>
    <fill>
      <patternFill patternType="solid">
        <fgColor rgb="FFFFF3E0"/>
      </patternFill>
    </fill>
    <fill>
      <patternFill patternType="solid">
        <fgColor rgb="FFFADBD8"/>
      </patternFill>
    </fill>
    <fill>
      <patternFill patternType="solid">
        <fgColor rgb="FFD5F5E3"/>
      </patternFill>
    </fill>
  </fills>
  <borders count="4">
    <border>
      <left/>
      <right/>
      <top/>
      <bottom/>
      <diagonal/>
    </border>
    <border>
      <left/>
      <right/>
      <top/>
      <bottom style="thin">
        <color rgb="FFCCCCCC"/>
      </bottom>
      <diagonal/>
    </border>
    <border>
      <left style="thin">
        <color auto="1"/>
      </left>
      <right style="thin">
        <color auto="1"/>
      </right>
      <top style="thin">
        <color auto="1"/>
      </top>
      <bottom style="thin">
        <color auto="1"/>
      </bottom>
      <diagonal/>
    </border>
    <border>
      <left/>
      <right/>
      <top style="thin">
        <color rgb="FFCCCCCC"/>
      </top>
      <bottom/>
      <diagonal/>
    </border>
  </borders>
  <cellStyleXfs count="2">
    <xf numFmtId="0" fontId="0" fillId="0" borderId="0"/>
    <xf numFmtId="0" fontId="1" fillId="0" borderId="0" applyNumberFormat="0" applyFill="0" applyBorder="0" applyAlignment="0" applyProtection="0"/>
  </cellStyleXfs>
  <cellXfs count="48">
    <xf numFmtId="0" fontId="0" fillId="0" borderId="0" xfId="0"/>
    <xf numFmtId="0" fontId="0" fillId="2" borderId="0" xfId="0" applyFill="1"/>
    <xf numFmtId="0" fontId="2" fillId="3" borderId="0" xfId="0" applyFont="1" applyFill="1" applyAlignment="1">
      <alignment horizontal="center" vertical="top" wrapText="1"/>
    </xf>
    <xf numFmtId="0" fontId="3" fillId="3" borderId="0" xfId="0" applyFont="1" applyFill="1" applyAlignment="1">
      <alignment horizontal="center" vertical="top" wrapText="1"/>
    </xf>
    <xf numFmtId="0" fontId="4" fillId="3" borderId="0" xfId="0" applyFont="1" applyFill="1" applyAlignment="1">
      <alignment horizontal="center" vertical="top" wrapText="1"/>
    </xf>
    <xf numFmtId="0" fontId="0" fillId="4" borderId="0" xfId="0" applyFill="1"/>
    <xf numFmtId="0" fontId="5" fillId="4" borderId="0" xfId="0" applyFont="1" applyFill="1" applyAlignment="1">
      <alignment vertical="center"/>
    </xf>
    <xf numFmtId="0" fontId="6" fillId="4" borderId="0" xfId="0" applyFont="1" applyFill="1" applyAlignment="1">
      <alignment wrapText="1"/>
    </xf>
    <xf numFmtId="0" fontId="6" fillId="4" borderId="0" xfId="0" applyFont="1" applyFill="1" applyAlignment="1">
      <alignment vertical="top"/>
    </xf>
    <xf numFmtId="0" fontId="7" fillId="4" borderId="0" xfId="0" applyFont="1" applyFill="1"/>
    <xf numFmtId="0" fontId="8" fillId="4" borderId="0" xfId="0" applyFont="1" applyFill="1"/>
    <xf numFmtId="0" fontId="9" fillId="5" borderId="1" xfId="0" applyFont="1" applyFill="1" applyBorder="1" applyAlignment="1">
      <alignment vertical="top" wrapText="1"/>
    </xf>
    <xf numFmtId="0" fontId="9" fillId="0" borderId="1" xfId="0" applyFont="1" applyBorder="1" applyAlignment="1">
      <alignment vertical="top" wrapText="1"/>
    </xf>
    <xf numFmtId="0" fontId="10" fillId="0" borderId="1" xfId="0" applyFont="1" applyBorder="1" applyAlignment="1">
      <alignment vertical="top" wrapText="1"/>
    </xf>
    <xf numFmtId="0" fontId="11" fillId="0" borderId="1" xfId="0" applyFont="1" applyBorder="1" applyAlignment="1">
      <alignment vertical="top" wrapText="1"/>
    </xf>
    <xf numFmtId="0" fontId="12" fillId="0" borderId="1" xfId="0" applyFont="1" applyBorder="1" applyAlignment="1">
      <alignment vertical="top" wrapText="1"/>
    </xf>
    <xf numFmtId="0" fontId="13" fillId="0" borderId="1" xfId="0" applyFont="1" applyBorder="1" applyAlignment="1">
      <alignment vertical="top" wrapText="1"/>
    </xf>
    <xf numFmtId="0" fontId="14" fillId="6" borderId="2" xfId="0" applyFont="1" applyFill="1" applyBorder="1" applyAlignment="1">
      <alignment vertical="top" wrapText="1"/>
    </xf>
    <xf numFmtId="0" fontId="9" fillId="7" borderId="2" xfId="0" applyFont="1" applyFill="1" applyBorder="1" applyAlignment="1">
      <alignment vertical="top" wrapText="1"/>
    </xf>
    <xf numFmtId="0" fontId="9" fillId="8" borderId="2" xfId="0" applyFont="1" applyFill="1" applyBorder="1" applyAlignment="1">
      <alignment vertical="top" wrapText="1"/>
    </xf>
    <xf numFmtId="0" fontId="9" fillId="9" borderId="2" xfId="0" applyFont="1" applyFill="1" applyBorder="1" applyAlignment="1">
      <alignment vertical="top" wrapText="1"/>
    </xf>
    <xf numFmtId="0" fontId="6" fillId="0" borderId="0" xfId="0" applyFont="1" applyAlignment="1">
      <alignment wrapText="1"/>
    </xf>
    <xf numFmtId="0" fontId="15" fillId="0" borderId="0" xfId="0" applyFont="1" applyAlignment="1">
      <alignment vertical="top" wrapText="1"/>
    </xf>
    <xf numFmtId="0" fontId="7" fillId="0" borderId="0" xfId="0" applyFont="1"/>
    <xf numFmtId="0" fontId="16" fillId="5" borderId="1" xfId="0" applyFont="1" applyFill="1" applyBorder="1" applyAlignment="1">
      <alignment vertical="top" wrapText="1"/>
    </xf>
    <xf numFmtId="0" fontId="6" fillId="0" borderId="0" xfId="0" applyFont="1" applyAlignment="1">
      <alignment vertical="top" wrapText="1"/>
    </xf>
    <xf numFmtId="0" fontId="6" fillId="0" borderId="0" xfId="0" applyFont="1" applyAlignment="1">
      <alignment vertical="top"/>
    </xf>
    <xf numFmtId="0" fontId="17" fillId="10" borderId="1" xfId="0" applyFont="1" applyFill="1" applyBorder="1" applyAlignment="1">
      <alignment vertical="top" wrapText="1"/>
    </xf>
    <xf numFmtId="0" fontId="8" fillId="0" borderId="0" xfId="0" applyFont="1" applyAlignment="1">
      <alignment wrapText="1"/>
    </xf>
    <xf numFmtId="0" fontId="6" fillId="4" borderId="0" xfId="0" applyFont="1" applyFill="1" applyAlignment="1">
      <alignment vertical="top" wrapText="1"/>
    </xf>
    <xf numFmtId="0" fontId="18" fillId="0" borderId="1" xfId="0" applyFont="1" applyBorder="1" applyAlignment="1">
      <alignment vertical="top" wrapText="1"/>
    </xf>
    <xf numFmtId="0" fontId="9" fillId="11" borderId="1" xfId="0" applyFont="1" applyFill="1" applyBorder="1" applyAlignment="1">
      <alignment vertical="top" wrapText="1"/>
    </xf>
    <xf numFmtId="0" fontId="8" fillId="0" borderId="0" xfId="0" applyFont="1"/>
    <xf numFmtId="0" fontId="9" fillId="0" borderId="0" xfId="0" applyFont="1" applyAlignment="1">
      <alignment vertical="top" wrapText="1"/>
    </xf>
    <xf numFmtId="0" fontId="19" fillId="0" borderId="1" xfId="0" applyFont="1" applyBorder="1" applyAlignment="1">
      <alignment vertical="top" wrapText="1"/>
    </xf>
    <xf numFmtId="0" fontId="10" fillId="0" borderId="1" xfId="0" applyFont="1" applyBorder="1" applyAlignment="1">
      <alignment wrapText="1"/>
    </xf>
    <xf numFmtId="0" fontId="18" fillId="0" borderId="1" xfId="0" applyFont="1" applyBorder="1" applyAlignment="1">
      <alignment wrapText="1"/>
    </xf>
    <xf numFmtId="0" fontId="20" fillId="0" borderId="0" xfId="1" applyFont="1"/>
    <xf numFmtId="0" fontId="21" fillId="0" borderId="1" xfId="0" applyFont="1" applyBorder="1" applyAlignment="1">
      <alignment vertical="top" wrapText="1"/>
    </xf>
    <xf numFmtId="0" fontId="22" fillId="0" borderId="0" xfId="0" applyFont="1" applyAlignment="1">
      <alignment wrapText="1"/>
    </xf>
    <xf numFmtId="0" fontId="23" fillId="0" borderId="0" xfId="0" applyFont="1" applyAlignment="1">
      <alignment vertical="top" wrapText="1"/>
    </xf>
    <xf numFmtId="0" fontId="24" fillId="0" borderId="0" xfId="0" applyFont="1" applyAlignment="1">
      <alignment vertical="top"/>
    </xf>
    <xf numFmtId="0" fontId="25" fillId="0" borderId="0" xfId="0" applyFont="1" applyAlignment="1">
      <alignment vertical="top" wrapText="1"/>
    </xf>
    <xf numFmtId="0" fontId="22" fillId="0" borderId="0" xfId="0" applyFont="1"/>
    <xf numFmtId="0" fontId="26" fillId="0" borderId="1" xfId="0" applyFont="1" applyBorder="1" applyAlignment="1">
      <alignment vertical="top" wrapText="1"/>
    </xf>
    <xf numFmtId="0" fontId="18" fillId="0" borderId="1" xfId="0" applyFont="1" applyBorder="1" applyAlignment="1">
      <alignment horizontal="center" vertical="top" wrapText="1"/>
    </xf>
    <xf numFmtId="0" fontId="18" fillId="0" borderId="3" xfId="0" applyFont="1" applyBorder="1" applyAlignment="1">
      <alignment horizontal="center" vertical="top" wrapText="1"/>
    </xf>
    <xf numFmtId="0" fontId="18" fillId="0" borderId="0" xfId="0" applyFont="1"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C6BC6-A569-4477-A651-D3E7AC36506C}">
  <dimension ref="A1:X80"/>
  <sheetViews>
    <sheetView tabSelected="1" topLeftCell="A26" workbookViewId="0">
      <selection activeCell="A4" sqref="A4:XFD4"/>
    </sheetView>
  </sheetViews>
  <sheetFormatPr defaultRowHeight="15" x14ac:dyDescent="0.25"/>
  <cols>
    <col min="2" max="2" width="13.125" customWidth="1"/>
    <col min="3" max="3" width="10.5" customWidth="1"/>
    <col min="4" max="4" width="50.5" customWidth="1"/>
    <col min="5" max="5" width="35.125" style="21" customWidth="1"/>
    <col min="6" max="6" width="42.75" style="26" customWidth="1"/>
    <col min="7" max="7" width="38.625" style="26" customWidth="1"/>
    <col min="8" max="9" width="14" style="23" customWidth="1"/>
    <col min="10" max="10" width="15.75" style="23" customWidth="1"/>
    <col min="11" max="11" width="8.75" style="23" hidden="1" customWidth="1"/>
    <col min="12" max="12" width="19.25" style="23" customWidth="1"/>
    <col min="13" max="13" width="15.75" style="23" customWidth="1"/>
    <col min="14" max="14" width="19.25" style="23" customWidth="1"/>
    <col min="15" max="16" width="8.75" style="23" customWidth="1"/>
    <col min="17" max="17" width="27.875" style="23" customWidth="1"/>
    <col min="18" max="18" width="23.5" style="32" customWidth="1"/>
    <col min="19" max="19" width="14" customWidth="1"/>
    <col min="20" max="20" width="10.5" customWidth="1"/>
    <col min="21" max="22" width="28" customWidth="1"/>
    <col min="23" max="23" width="36.75" style="23" customWidth="1"/>
    <col min="24" max="24" width="21.875" customWidth="1"/>
    <col min="25" max="25" width="21.25" customWidth="1"/>
  </cols>
  <sheetData>
    <row r="1" spans="1:24" ht="36" customHeight="1" x14ac:dyDescent="0.2">
      <c r="A1" s="1" t="s">
        <v>0</v>
      </c>
      <c r="B1" s="2" t="s">
        <v>1</v>
      </c>
      <c r="C1" s="2" t="s">
        <v>2</v>
      </c>
      <c r="D1" s="2" t="s">
        <v>3</v>
      </c>
      <c r="E1" s="3" t="s">
        <v>4</v>
      </c>
      <c r="F1" s="3" t="s">
        <v>5</v>
      </c>
      <c r="G1" s="3" t="s">
        <v>6</v>
      </c>
      <c r="H1" s="4" t="s">
        <v>7</v>
      </c>
      <c r="I1" s="4" t="s">
        <v>8</v>
      </c>
      <c r="J1" s="4" t="s">
        <v>9</v>
      </c>
      <c r="K1" s="4" t="s">
        <v>10</v>
      </c>
      <c r="L1" s="4" t="s">
        <v>11</v>
      </c>
      <c r="M1" s="4" t="s">
        <v>12</v>
      </c>
      <c r="N1" s="4" t="s">
        <v>13</v>
      </c>
      <c r="O1" s="4" t="s">
        <v>14</v>
      </c>
      <c r="P1" s="4" t="s">
        <v>15</v>
      </c>
      <c r="Q1" s="4" t="s">
        <v>16</v>
      </c>
      <c r="R1" s="2" t="s">
        <v>17</v>
      </c>
      <c r="S1" s="2" t="s">
        <v>18</v>
      </c>
      <c r="T1" s="2" t="s">
        <v>19</v>
      </c>
      <c r="U1" s="2" t="s">
        <v>20</v>
      </c>
      <c r="V1" s="2" t="s">
        <v>21</v>
      </c>
      <c r="W1" s="4" t="s">
        <v>22</v>
      </c>
      <c r="X1" s="2" t="s">
        <v>23</v>
      </c>
    </row>
    <row r="2" spans="1:24" s="5" customFormat="1" ht="21.95" customHeight="1" x14ac:dyDescent="0.25">
      <c r="B2" s="6" t="s">
        <v>24</v>
      </c>
      <c r="E2" s="7"/>
      <c r="F2" s="8"/>
      <c r="G2" s="8"/>
      <c r="H2" s="9"/>
      <c r="I2" s="9"/>
      <c r="J2" s="9"/>
      <c r="K2" s="9"/>
      <c r="L2" s="9"/>
      <c r="M2" s="9"/>
      <c r="N2" s="9"/>
      <c r="O2" s="9"/>
      <c r="P2" s="9"/>
      <c r="Q2" s="9"/>
      <c r="R2" s="10"/>
      <c r="W2" s="9"/>
    </row>
    <row r="3" spans="1:24" ht="42" customHeight="1" x14ac:dyDescent="0.2">
      <c r="A3" s="11" t="s">
        <v>25</v>
      </c>
      <c r="B3" s="12" t="s">
        <v>26</v>
      </c>
      <c r="C3" s="12" t="s">
        <v>27</v>
      </c>
      <c r="D3" s="13" t="s">
        <v>28</v>
      </c>
      <c r="E3" s="14"/>
      <c r="F3" s="14"/>
      <c r="G3" s="14"/>
      <c r="H3" s="15" t="s">
        <v>29</v>
      </c>
      <c r="I3" s="15" t="s">
        <v>30</v>
      </c>
      <c r="J3" s="15" t="s">
        <v>31</v>
      </c>
      <c r="K3" s="15" t="s">
        <v>32</v>
      </c>
      <c r="L3" s="15"/>
      <c r="M3" s="15" t="s">
        <v>33</v>
      </c>
      <c r="N3" s="15"/>
      <c r="O3" s="15"/>
      <c r="P3" s="15"/>
      <c r="Q3" s="15"/>
      <c r="R3" s="16"/>
      <c r="S3" s="12"/>
      <c r="T3" s="12"/>
      <c r="U3" s="12"/>
      <c r="V3" s="17" t="s">
        <v>34</v>
      </c>
      <c r="W3" s="17" t="s">
        <v>34</v>
      </c>
      <c r="X3" s="17" t="s">
        <v>34</v>
      </c>
    </row>
    <row r="4" spans="1:24" ht="231" customHeight="1" x14ac:dyDescent="0.2">
      <c r="A4" s="11" t="s">
        <v>25</v>
      </c>
      <c r="B4" s="12" t="s">
        <v>36</v>
      </c>
      <c r="C4" s="12" t="s">
        <v>37</v>
      </c>
      <c r="D4" s="13" t="s">
        <v>38</v>
      </c>
      <c r="E4" s="14"/>
      <c r="F4" s="14"/>
      <c r="G4" s="14"/>
      <c r="H4" s="15" t="s">
        <v>29</v>
      </c>
      <c r="I4" s="15" t="s">
        <v>30</v>
      </c>
      <c r="J4" s="15" t="s">
        <v>35</v>
      </c>
      <c r="K4" s="15" t="s">
        <v>32</v>
      </c>
      <c r="L4" s="15"/>
      <c r="M4" s="15" t="s">
        <v>33</v>
      </c>
      <c r="N4" s="15"/>
      <c r="O4" s="15"/>
      <c r="P4" s="15"/>
      <c r="Q4" s="15"/>
      <c r="R4" s="16"/>
      <c r="S4" s="12"/>
      <c r="T4" s="12"/>
      <c r="U4" s="12"/>
      <c r="V4" s="18" t="s">
        <v>39</v>
      </c>
      <c r="W4" s="17" t="s">
        <v>34</v>
      </c>
      <c r="X4" s="17" t="s">
        <v>34</v>
      </c>
    </row>
    <row r="5" spans="1:24" ht="84" customHeight="1" x14ac:dyDescent="0.2">
      <c r="A5" s="11" t="s">
        <v>25</v>
      </c>
      <c r="B5" s="12" t="s">
        <v>40</v>
      </c>
      <c r="C5" s="12" t="s">
        <v>41</v>
      </c>
      <c r="D5" s="13" t="s">
        <v>390</v>
      </c>
      <c r="E5" s="14"/>
      <c r="F5" s="14"/>
      <c r="G5" s="14"/>
      <c r="H5" s="15" t="s">
        <v>29</v>
      </c>
      <c r="I5" s="15" t="s">
        <v>30</v>
      </c>
      <c r="J5" s="15" t="s">
        <v>35</v>
      </c>
      <c r="K5" s="15" t="s">
        <v>32</v>
      </c>
      <c r="L5" s="15"/>
      <c r="M5" s="15" t="s">
        <v>33</v>
      </c>
      <c r="N5" s="15"/>
      <c r="O5" s="15"/>
      <c r="P5" s="15"/>
      <c r="Q5" s="15"/>
      <c r="R5" s="16"/>
      <c r="S5" s="12"/>
      <c r="T5" s="12"/>
      <c r="U5" s="12"/>
      <c r="V5" s="17" t="s">
        <v>34</v>
      </c>
      <c r="W5" s="17" t="s">
        <v>34</v>
      </c>
      <c r="X5" s="17" t="s">
        <v>34</v>
      </c>
    </row>
    <row r="6" spans="1:24" s="5" customFormat="1" ht="21.95" customHeight="1" x14ac:dyDescent="0.25">
      <c r="B6" s="6" t="s">
        <v>42</v>
      </c>
      <c r="E6" s="7"/>
      <c r="F6" s="8"/>
      <c r="G6" s="8"/>
      <c r="H6" s="9"/>
      <c r="I6" s="9"/>
      <c r="J6" s="9"/>
      <c r="K6" s="9"/>
      <c r="L6" s="9"/>
      <c r="M6" s="9"/>
      <c r="N6" s="9"/>
      <c r="O6" s="9"/>
      <c r="P6" s="9"/>
      <c r="Q6" s="9"/>
      <c r="R6" s="10"/>
      <c r="W6" s="9"/>
    </row>
    <row r="7" spans="1:24" ht="42" customHeight="1" x14ac:dyDescent="0.25">
      <c r="A7" s="11" t="s">
        <v>25</v>
      </c>
      <c r="B7" s="12" t="s">
        <v>43</v>
      </c>
      <c r="C7" s="12" t="s">
        <v>27</v>
      </c>
      <c r="D7" s="13" t="s">
        <v>44</v>
      </c>
      <c r="F7" s="22" t="s">
        <v>45</v>
      </c>
      <c r="G7" s="22"/>
      <c r="H7" s="15" t="s">
        <v>46</v>
      </c>
      <c r="I7" s="15" t="s">
        <v>47</v>
      </c>
      <c r="J7" s="15" t="s">
        <v>48</v>
      </c>
      <c r="K7" s="15" t="s">
        <v>32</v>
      </c>
      <c r="L7" s="15"/>
      <c r="M7" s="15" t="s">
        <v>33</v>
      </c>
      <c r="N7" s="15" t="s">
        <v>49</v>
      </c>
      <c r="O7" s="15"/>
      <c r="Q7" s="15"/>
      <c r="R7" s="16"/>
      <c r="S7" s="12"/>
      <c r="T7" s="11" t="s">
        <v>50</v>
      </c>
      <c r="U7" s="12" t="s">
        <v>51</v>
      </c>
      <c r="V7" s="17" t="s">
        <v>34</v>
      </c>
      <c r="W7" s="17" t="s">
        <v>34</v>
      </c>
      <c r="X7" s="19" t="s">
        <v>52</v>
      </c>
    </row>
    <row r="8" spans="1:24" ht="101.25" customHeight="1" x14ac:dyDescent="0.2">
      <c r="A8" s="11" t="s">
        <v>25</v>
      </c>
      <c r="B8" s="12" t="s">
        <v>53</v>
      </c>
      <c r="C8" s="12" t="s">
        <v>27</v>
      </c>
      <c r="D8" s="13" t="s">
        <v>54</v>
      </c>
      <c r="E8" s="22" t="s">
        <v>55</v>
      </c>
      <c r="F8" s="14" t="s">
        <v>56</v>
      </c>
      <c r="G8" s="14"/>
      <c r="H8" s="15" t="s">
        <v>57</v>
      </c>
      <c r="I8" s="15" t="s">
        <v>58</v>
      </c>
      <c r="J8" s="15" t="s">
        <v>59</v>
      </c>
      <c r="K8" s="24" t="s">
        <v>60</v>
      </c>
      <c r="L8" s="15"/>
      <c r="M8" s="15" t="s">
        <v>61</v>
      </c>
      <c r="N8" s="15" t="s">
        <v>62</v>
      </c>
      <c r="O8" s="15"/>
      <c r="P8" s="15" t="s">
        <v>63</v>
      </c>
      <c r="Q8" s="15" t="s">
        <v>64</v>
      </c>
      <c r="R8" s="16"/>
      <c r="S8" s="12"/>
      <c r="T8" s="11" t="s">
        <v>65</v>
      </c>
      <c r="U8" s="12" t="s">
        <v>66</v>
      </c>
      <c r="V8" s="17" t="s">
        <v>34</v>
      </c>
      <c r="W8" s="17" t="s">
        <v>34</v>
      </c>
      <c r="X8" s="19" t="s">
        <v>67</v>
      </c>
    </row>
    <row r="9" spans="1:24" ht="42" customHeight="1" x14ac:dyDescent="0.2">
      <c r="A9" s="11" t="s">
        <v>25</v>
      </c>
      <c r="B9" s="12" t="s">
        <v>68</v>
      </c>
      <c r="C9" s="12" t="s">
        <v>27</v>
      </c>
      <c r="D9" s="13" t="s">
        <v>69</v>
      </c>
      <c r="E9" s="25" t="s">
        <v>70</v>
      </c>
      <c r="F9" s="26" t="s">
        <v>56</v>
      </c>
      <c r="H9" s="15" t="s">
        <v>57</v>
      </c>
      <c r="I9" s="15" t="s">
        <v>58</v>
      </c>
      <c r="J9" s="15" t="s">
        <v>71</v>
      </c>
      <c r="K9" s="24" t="s">
        <v>60</v>
      </c>
      <c r="L9" s="15"/>
      <c r="M9" s="15" t="s">
        <v>72</v>
      </c>
      <c r="N9" s="15" t="s">
        <v>73</v>
      </c>
      <c r="O9" s="15"/>
      <c r="P9" s="15"/>
      <c r="Q9" s="15" t="s">
        <v>74</v>
      </c>
      <c r="R9" s="16"/>
      <c r="S9" s="12"/>
      <c r="T9" s="11" t="s">
        <v>65</v>
      </c>
      <c r="U9" s="12" t="s">
        <v>75</v>
      </c>
      <c r="V9" s="17" t="s">
        <v>34</v>
      </c>
      <c r="W9" s="17" t="s">
        <v>34</v>
      </c>
      <c r="X9" s="19" t="s">
        <v>76</v>
      </c>
    </row>
    <row r="10" spans="1:24" ht="42" customHeight="1" x14ac:dyDescent="0.25">
      <c r="A10" s="11" t="s">
        <v>25</v>
      </c>
      <c r="B10" s="12" t="s">
        <v>77</v>
      </c>
      <c r="C10" s="12" t="s">
        <v>27</v>
      </c>
      <c r="D10" s="13" t="s">
        <v>78</v>
      </c>
      <c r="F10" s="14"/>
      <c r="G10" s="14" t="s">
        <v>79</v>
      </c>
      <c r="H10" s="15" t="s">
        <v>46</v>
      </c>
      <c r="I10" s="15" t="s">
        <v>47</v>
      </c>
      <c r="J10" s="15" t="s">
        <v>80</v>
      </c>
      <c r="K10" s="15" t="s">
        <v>32</v>
      </c>
      <c r="L10" s="15"/>
      <c r="M10" s="15" t="s">
        <v>33</v>
      </c>
      <c r="N10" s="15" t="s">
        <v>81</v>
      </c>
      <c r="O10" s="15"/>
      <c r="P10" s="15" t="s">
        <v>82</v>
      </c>
      <c r="Q10" s="15"/>
      <c r="R10" s="16"/>
      <c r="S10" s="12"/>
      <c r="T10" s="11" t="s">
        <v>83</v>
      </c>
      <c r="U10" s="12" t="s">
        <v>84</v>
      </c>
      <c r="V10" s="17" t="s">
        <v>34</v>
      </c>
      <c r="W10" s="17" t="s">
        <v>34</v>
      </c>
      <c r="X10" s="19" t="s">
        <v>85</v>
      </c>
    </row>
    <row r="11" spans="1:24" ht="76.5" customHeight="1" x14ac:dyDescent="0.2">
      <c r="A11" s="11" t="s">
        <v>25</v>
      </c>
      <c r="B11" s="12" t="s">
        <v>86</v>
      </c>
      <c r="C11" s="12" t="s">
        <v>27</v>
      </c>
      <c r="D11" s="13" t="s">
        <v>87</v>
      </c>
      <c r="E11" s="14"/>
      <c r="F11" s="14"/>
      <c r="G11" s="14" t="s">
        <v>88</v>
      </c>
      <c r="H11" s="15" t="s">
        <v>89</v>
      </c>
      <c r="I11" s="15" t="s">
        <v>47</v>
      </c>
      <c r="J11" s="15" t="s">
        <v>90</v>
      </c>
      <c r="K11" s="27" t="s">
        <v>91</v>
      </c>
      <c r="L11" s="15"/>
      <c r="M11" s="15" t="s">
        <v>33</v>
      </c>
      <c r="N11" s="15" t="s">
        <v>92</v>
      </c>
      <c r="O11" s="15"/>
      <c r="P11" s="15" t="s">
        <v>93</v>
      </c>
      <c r="Q11" s="15"/>
      <c r="R11" s="16"/>
      <c r="S11" s="12"/>
      <c r="T11" s="11" t="s">
        <v>94</v>
      </c>
      <c r="U11" s="12" t="s">
        <v>95</v>
      </c>
      <c r="V11" s="18" t="s">
        <v>96</v>
      </c>
      <c r="W11" s="17" t="s">
        <v>34</v>
      </c>
      <c r="X11" s="19" t="s">
        <v>97</v>
      </c>
    </row>
    <row r="12" spans="1:24" ht="42" customHeight="1" x14ac:dyDescent="0.2">
      <c r="A12" s="11" t="s">
        <v>25</v>
      </c>
      <c r="B12" s="12" t="s">
        <v>98</v>
      </c>
      <c r="C12" s="12" t="s">
        <v>27</v>
      </c>
      <c r="D12" s="13" t="s">
        <v>99</v>
      </c>
      <c r="E12" s="14"/>
      <c r="F12" s="14"/>
      <c r="G12" s="14" t="s">
        <v>100</v>
      </c>
      <c r="H12" s="15" t="s">
        <v>101</v>
      </c>
      <c r="I12" s="15" t="s">
        <v>47</v>
      </c>
      <c r="J12" s="15" t="s">
        <v>80</v>
      </c>
      <c r="K12" s="27" t="s">
        <v>91</v>
      </c>
      <c r="L12" s="15"/>
      <c r="M12" s="15" t="s">
        <v>33</v>
      </c>
      <c r="N12" s="15" t="s">
        <v>102</v>
      </c>
      <c r="O12" s="15"/>
      <c r="P12" s="15" t="s">
        <v>82</v>
      </c>
      <c r="Q12" s="15"/>
      <c r="R12" s="16"/>
      <c r="S12" s="12"/>
      <c r="T12" s="11" t="s">
        <v>94</v>
      </c>
      <c r="U12" s="12" t="s">
        <v>103</v>
      </c>
      <c r="V12" s="18" t="s">
        <v>104</v>
      </c>
      <c r="W12" s="17" t="s">
        <v>34</v>
      </c>
      <c r="X12" s="17" t="s">
        <v>34</v>
      </c>
    </row>
    <row r="13" spans="1:24" ht="42" customHeight="1" x14ac:dyDescent="0.2">
      <c r="A13" s="11" t="s">
        <v>25</v>
      </c>
      <c r="B13" s="12" t="s">
        <v>105</v>
      </c>
      <c r="C13" s="12" t="s">
        <v>27</v>
      </c>
      <c r="D13" s="13" t="s">
        <v>106</v>
      </c>
      <c r="E13" s="14"/>
      <c r="F13" s="14"/>
      <c r="G13" s="14" t="s">
        <v>107</v>
      </c>
      <c r="H13" s="15" t="s">
        <v>101</v>
      </c>
      <c r="I13" s="15" t="s">
        <v>47</v>
      </c>
      <c r="J13" s="15" t="s">
        <v>108</v>
      </c>
      <c r="K13" s="27" t="s">
        <v>91</v>
      </c>
      <c r="L13" s="15" t="s">
        <v>109</v>
      </c>
      <c r="M13" s="15" t="s">
        <v>33</v>
      </c>
      <c r="N13" s="15"/>
      <c r="O13" s="15"/>
      <c r="P13" s="15"/>
      <c r="Q13" s="15"/>
      <c r="R13" s="16"/>
      <c r="S13" s="12"/>
      <c r="T13" s="11" t="s">
        <v>110</v>
      </c>
      <c r="U13" s="12" t="s">
        <v>111</v>
      </c>
      <c r="V13" s="17" t="s">
        <v>112</v>
      </c>
      <c r="W13" s="17" t="s">
        <v>34</v>
      </c>
      <c r="X13" s="17" t="s">
        <v>34</v>
      </c>
    </row>
    <row r="14" spans="1:24" ht="203.25" customHeight="1" x14ac:dyDescent="0.2">
      <c r="A14" s="11" t="s">
        <v>25</v>
      </c>
      <c r="B14" s="12" t="s">
        <v>113</v>
      </c>
      <c r="C14" s="12" t="s">
        <v>27</v>
      </c>
      <c r="D14" s="13" t="s">
        <v>114</v>
      </c>
      <c r="E14" s="14"/>
      <c r="F14" s="14"/>
      <c r="G14" s="14" t="s">
        <v>115</v>
      </c>
      <c r="H14" s="15" t="s">
        <v>101</v>
      </c>
      <c r="I14" s="15" t="s">
        <v>47</v>
      </c>
      <c r="J14" s="15" t="s">
        <v>80</v>
      </c>
      <c r="K14" s="27" t="s">
        <v>91</v>
      </c>
      <c r="L14" s="15" t="s">
        <v>116</v>
      </c>
      <c r="M14" s="15" t="s">
        <v>33</v>
      </c>
      <c r="N14" s="15"/>
      <c r="O14" s="15"/>
      <c r="P14" s="15"/>
      <c r="Q14" s="15" t="s">
        <v>117</v>
      </c>
      <c r="R14" s="28" t="s">
        <v>118</v>
      </c>
      <c r="S14" s="12"/>
      <c r="T14" s="11" t="s">
        <v>94</v>
      </c>
      <c r="U14" s="12" t="s">
        <v>119</v>
      </c>
      <c r="V14" s="18" t="s">
        <v>120</v>
      </c>
      <c r="W14" s="17" t="s">
        <v>34</v>
      </c>
      <c r="X14" s="17" t="s">
        <v>34</v>
      </c>
    </row>
    <row r="15" spans="1:24" s="5" customFormat="1" ht="21.95" customHeight="1" x14ac:dyDescent="0.2">
      <c r="B15" s="6" t="s">
        <v>128</v>
      </c>
      <c r="E15" s="29"/>
      <c r="F15" s="29"/>
      <c r="G15" s="29"/>
      <c r="H15" s="9"/>
      <c r="I15" s="9"/>
      <c r="J15" s="9"/>
      <c r="K15" s="9"/>
      <c r="L15" s="9"/>
      <c r="M15" s="9"/>
      <c r="N15" s="9"/>
      <c r="O15" s="9"/>
      <c r="P15" s="9"/>
      <c r="Q15" s="9"/>
      <c r="R15" s="10"/>
      <c r="W15" s="9"/>
    </row>
    <row r="16" spans="1:24" ht="42" customHeight="1" x14ac:dyDescent="0.45">
      <c r="A16" s="11" t="s">
        <v>25</v>
      </c>
      <c r="B16" s="12" t="s">
        <v>129</v>
      </c>
      <c r="C16" s="12" t="s">
        <v>130</v>
      </c>
      <c r="D16" s="35" t="s">
        <v>131</v>
      </c>
      <c r="E16" s="36" t="s">
        <v>132</v>
      </c>
      <c r="F16" s="30" t="s">
        <v>133</v>
      </c>
      <c r="G16" s="30"/>
      <c r="H16" s="15" t="s">
        <v>134</v>
      </c>
      <c r="I16" s="15" t="s">
        <v>135</v>
      </c>
      <c r="J16" s="15" t="s">
        <v>136</v>
      </c>
      <c r="K16" s="27" t="s">
        <v>91</v>
      </c>
      <c r="L16" s="37" t="str">
        <f>HYPERLINK("#Q14","Jump to conditional var")</f>
        <v>Jump to conditional var</v>
      </c>
      <c r="M16" s="15" t="s">
        <v>137</v>
      </c>
      <c r="N16" s="15"/>
      <c r="O16" s="15"/>
      <c r="P16" s="15"/>
      <c r="Q16" s="15"/>
      <c r="R16" s="16"/>
      <c r="S16" s="12" t="s">
        <v>395</v>
      </c>
      <c r="T16" s="11" t="s">
        <v>138</v>
      </c>
      <c r="U16" s="12" t="s">
        <v>139</v>
      </c>
      <c r="V16" s="18" t="s">
        <v>140</v>
      </c>
      <c r="W16" s="17" t="s">
        <v>34</v>
      </c>
      <c r="X16" s="17" t="s">
        <v>34</v>
      </c>
    </row>
    <row r="17" spans="1:24" ht="21.75" customHeight="1" x14ac:dyDescent="0.45">
      <c r="B17" s="12" t="s">
        <v>141</v>
      </c>
      <c r="C17" s="12"/>
      <c r="D17" s="35"/>
      <c r="E17" s="36"/>
      <c r="G17" s="38" t="s">
        <v>142</v>
      </c>
      <c r="H17" s="15"/>
      <c r="I17" s="15"/>
      <c r="J17" s="15"/>
      <c r="K17" s="27"/>
      <c r="L17" s="15"/>
      <c r="M17" s="15"/>
      <c r="N17" s="15"/>
      <c r="O17" s="15"/>
      <c r="P17" s="15"/>
      <c r="Q17" s="15"/>
      <c r="R17" s="16"/>
      <c r="S17" s="12"/>
      <c r="T17" s="11"/>
      <c r="U17" s="12"/>
      <c r="V17" s="18" t="s">
        <v>143</v>
      </c>
      <c r="W17" s="17" t="s">
        <v>34</v>
      </c>
      <c r="X17" s="17" t="s">
        <v>34</v>
      </c>
    </row>
    <row r="18" spans="1:24" ht="21.75" customHeight="1" x14ac:dyDescent="0.45">
      <c r="B18" s="12" t="s">
        <v>144</v>
      </c>
      <c r="C18" s="12"/>
      <c r="D18" s="35"/>
      <c r="E18" s="36"/>
      <c r="G18" s="38" t="s">
        <v>145</v>
      </c>
      <c r="H18" s="15"/>
      <c r="I18" s="15"/>
      <c r="J18" s="15"/>
      <c r="K18" s="27"/>
      <c r="L18" s="15"/>
      <c r="M18" s="15"/>
      <c r="N18" s="15"/>
      <c r="O18" s="15"/>
      <c r="P18" s="15"/>
      <c r="Q18" s="15"/>
      <c r="R18" s="16"/>
      <c r="S18" s="12"/>
      <c r="T18" s="11"/>
      <c r="U18" s="12"/>
      <c r="V18" s="18" t="s">
        <v>146</v>
      </c>
      <c r="W18" s="17" t="s">
        <v>34</v>
      </c>
      <c r="X18" s="17" t="s">
        <v>34</v>
      </c>
    </row>
    <row r="19" spans="1:24" ht="21.75" customHeight="1" x14ac:dyDescent="0.45">
      <c r="B19" s="12" t="s">
        <v>147</v>
      </c>
      <c r="C19" s="12"/>
      <c r="D19" s="35"/>
      <c r="E19" s="36"/>
      <c r="G19" s="38" t="s">
        <v>148</v>
      </c>
      <c r="H19" s="15"/>
      <c r="I19" s="15"/>
      <c r="J19" s="15"/>
      <c r="K19" s="27"/>
      <c r="L19" s="15"/>
      <c r="M19" s="15"/>
      <c r="N19" s="15"/>
      <c r="O19" s="15"/>
      <c r="P19" s="15"/>
      <c r="Q19" s="15"/>
      <c r="R19" s="16"/>
      <c r="S19" s="12"/>
      <c r="T19" s="11"/>
      <c r="U19" s="12"/>
      <c r="V19" s="18" t="s">
        <v>149</v>
      </c>
      <c r="W19" s="17" t="s">
        <v>34</v>
      </c>
      <c r="X19" s="17" t="s">
        <v>34</v>
      </c>
    </row>
    <row r="20" spans="1:24" ht="21.75" customHeight="1" x14ac:dyDescent="0.45">
      <c r="B20" s="12" t="s">
        <v>150</v>
      </c>
      <c r="C20" s="12"/>
      <c r="D20" s="35"/>
      <c r="E20" s="36"/>
      <c r="G20" s="38" t="s">
        <v>151</v>
      </c>
      <c r="H20" s="15"/>
      <c r="I20" s="15"/>
      <c r="J20" s="15"/>
      <c r="K20" s="27"/>
      <c r="L20" s="15"/>
      <c r="M20" s="15"/>
      <c r="N20" s="15"/>
      <c r="O20" s="15"/>
      <c r="P20" s="15"/>
      <c r="Q20" s="15"/>
      <c r="R20" s="16"/>
      <c r="S20" s="12"/>
      <c r="T20" s="11"/>
      <c r="U20" s="12"/>
      <c r="V20" s="18" t="s">
        <v>152</v>
      </c>
      <c r="W20" s="17" t="s">
        <v>34</v>
      </c>
      <c r="X20" s="17" t="s">
        <v>34</v>
      </c>
    </row>
    <row r="21" spans="1:24" ht="21.75" customHeight="1" x14ac:dyDescent="0.45">
      <c r="B21" s="12" t="s">
        <v>153</v>
      </c>
      <c r="C21" s="12"/>
      <c r="D21" s="35"/>
      <c r="E21" s="36"/>
      <c r="G21" s="38" t="s">
        <v>154</v>
      </c>
      <c r="H21" s="15"/>
      <c r="I21" s="15"/>
      <c r="J21" s="15"/>
      <c r="K21" s="27"/>
      <c r="L21" s="15"/>
      <c r="M21" s="15"/>
      <c r="N21" s="15"/>
      <c r="O21" s="15"/>
      <c r="P21" s="15"/>
      <c r="Q21" s="15"/>
      <c r="R21" s="16"/>
      <c r="S21" s="12"/>
      <c r="T21" s="11"/>
      <c r="U21" s="12"/>
      <c r="V21" s="18" t="s">
        <v>155</v>
      </c>
      <c r="W21" s="17" t="s">
        <v>34</v>
      </c>
      <c r="X21" s="17" t="s">
        <v>34</v>
      </c>
    </row>
    <row r="22" spans="1:24" ht="21.75" customHeight="1" x14ac:dyDescent="0.45">
      <c r="B22" s="12" t="s">
        <v>156</v>
      </c>
      <c r="C22" s="12"/>
      <c r="D22" s="35"/>
      <c r="E22" s="36"/>
      <c r="G22" s="38" t="s">
        <v>157</v>
      </c>
      <c r="H22" s="15"/>
      <c r="I22" s="15"/>
      <c r="J22" s="15"/>
      <c r="K22" s="27"/>
      <c r="L22" s="15"/>
      <c r="M22" s="15"/>
      <c r="N22" s="15"/>
      <c r="O22" s="15"/>
      <c r="P22" s="15"/>
      <c r="Q22" s="15"/>
      <c r="R22" s="16"/>
      <c r="S22" s="12"/>
      <c r="T22" s="11"/>
      <c r="U22" s="12"/>
      <c r="V22" s="18" t="s">
        <v>158</v>
      </c>
      <c r="W22" s="17" t="s">
        <v>34</v>
      </c>
      <c r="X22" s="17" t="s">
        <v>34</v>
      </c>
    </row>
    <row r="23" spans="1:24" ht="21.75" customHeight="1" x14ac:dyDescent="0.45">
      <c r="B23" s="12" t="s">
        <v>159</v>
      </c>
      <c r="C23" s="12"/>
      <c r="D23" s="35"/>
      <c r="E23" s="36"/>
      <c r="G23" s="38" t="s">
        <v>160</v>
      </c>
      <c r="H23" s="15"/>
      <c r="I23" s="15"/>
      <c r="J23" s="15"/>
      <c r="K23" s="27"/>
      <c r="L23" s="15"/>
      <c r="M23" s="15"/>
      <c r="N23" s="15"/>
      <c r="O23" s="15"/>
      <c r="P23" s="15"/>
      <c r="Q23" s="15"/>
      <c r="R23" s="16"/>
      <c r="S23" s="12"/>
      <c r="T23" s="11"/>
      <c r="U23" s="12"/>
      <c r="V23" s="18" t="s">
        <v>161</v>
      </c>
      <c r="W23" s="17" t="s">
        <v>34</v>
      </c>
      <c r="X23" s="17" t="s">
        <v>34</v>
      </c>
    </row>
    <row r="24" spans="1:24" ht="21.75" customHeight="1" x14ac:dyDescent="0.45">
      <c r="B24" s="12" t="s">
        <v>393</v>
      </c>
      <c r="C24" s="12"/>
      <c r="D24" s="35"/>
      <c r="E24" s="36"/>
      <c r="G24" s="38" t="s">
        <v>394</v>
      </c>
      <c r="H24" s="15"/>
      <c r="I24" s="15"/>
      <c r="J24" s="15"/>
      <c r="K24" s="27"/>
      <c r="L24" s="15"/>
      <c r="M24" s="15"/>
      <c r="N24" s="15"/>
      <c r="O24" s="15"/>
      <c r="P24" s="15"/>
      <c r="Q24" s="15"/>
      <c r="R24" s="16"/>
      <c r="S24" s="12"/>
      <c r="T24" s="11"/>
      <c r="U24" s="12"/>
      <c r="V24" s="18"/>
      <c r="W24" s="17"/>
      <c r="X24" s="17"/>
    </row>
    <row r="25" spans="1:24" ht="28.5" customHeight="1" x14ac:dyDescent="0.45">
      <c r="B25" s="12" t="s">
        <v>162</v>
      </c>
      <c r="C25" s="12"/>
      <c r="D25" s="35"/>
      <c r="E25" s="36"/>
      <c r="G25" s="38" t="s">
        <v>163</v>
      </c>
      <c r="H25" s="15"/>
      <c r="I25" s="15"/>
      <c r="J25" s="15"/>
      <c r="K25" s="27"/>
      <c r="L25" s="15"/>
      <c r="M25" s="15"/>
      <c r="N25" s="15"/>
      <c r="O25" s="15"/>
      <c r="P25" s="15"/>
      <c r="Q25" s="15"/>
      <c r="R25" s="16"/>
      <c r="S25" s="12"/>
      <c r="T25" s="11"/>
      <c r="U25" s="12"/>
      <c r="V25" s="18" t="s">
        <v>164</v>
      </c>
      <c r="W25" s="17" t="s">
        <v>34</v>
      </c>
      <c r="X25" s="17" t="s">
        <v>34</v>
      </c>
    </row>
    <row r="26" spans="1:24" ht="28.5" customHeight="1" x14ac:dyDescent="0.45">
      <c r="B26" s="12" t="s">
        <v>391</v>
      </c>
      <c r="C26" s="12"/>
      <c r="D26" s="35"/>
      <c r="E26" s="36"/>
      <c r="G26" s="38" t="s">
        <v>392</v>
      </c>
      <c r="H26" s="15"/>
      <c r="I26" s="15"/>
      <c r="J26" s="15"/>
      <c r="K26" s="27"/>
      <c r="L26" s="15"/>
      <c r="M26" s="15"/>
      <c r="N26" s="15"/>
      <c r="O26" s="15"/>
      <c r="P26" s="15"/>
      <c r="Q26" s="15"/>
      <c r="R26" s="16"/>
      <c r="S26" s="12"/>
      <c r="T26" s="11"/>
      <c r="U26" s="12"/>
      <c r="V26" s="18" t="s">
        <v>164</v>
      </c>
      <c r="W26" s="17" t="s">
        <v>34</v>
      </c>
      <c r="X26" s="17" t="s">
        <v>34</v>
      </c>
    </row>
    <row r="27" spans="1:24" ht="42" customHeight="1" x14ac:dyDescent="0.45">
      <c r="A27" s="11" t="s">
        <v>25</v>
      </c>
      <c r="B27" s="12" t="s">
        <v>165</v>
      </c>
      <c r="C27" s="12" t="s">
        <v>166</v>
      </c>
      <c r="D27" s="35" t="s">
        <v>131</v>
      </c>
      <c r="E27" s="36" t="s">
        <v>132</v>
      </c>
      <c r="F27" s="30" t="s">
        <v>133</v>
      </c>
      <c r="G27" s="30"/>
      <c r="H27" s="15" t="s">
        <v>167</v>
      </c>
      <c r="I27" s="15" t="s">
        <v>135</v>
      </c>
      <c r="J27" s="15" t="s">
        <v>136</v>
      </c>
      <c r="K27" s="27" t="s">
        <v>91</v>
      </c>
      <c r="L27" s="37" t="str">
        <f>HYPERLINK("#Q14","Jump to conditional var")</f>
        <v>Jump to conditional var</v>
      </c>
      <c r="M27" s="15" t="s">
        <v>137</v>
      </c>
      <c r="N27" s="15"/>
      <c r="O27" s="15"/>
      <c r="P27" s="15"/>
      <c r="Q27" s="15"/>
      <c r="R27" s="16"/>
      <c r="S27" s="12" t="s">
        <v>396</v>
      </c>
      <c r="T27" s="11" t="s">
        <v>138</v>
      </c>
      <c r="U27" s="12" t="s">
        <v>139</v>
      </c>
      <c r="V27" s="18" t="s">
        <v>168</v>
      </c>
      <c r="W27" s="17" t="s">
        <v>34</v>
      </c>
      <c r="X27" s="17" t="s">
        <v>34</v>
      </c>
    </row>
    <row r="28" spans="1:24" ht="21.75" customHeight="1" x14ac:dyDescent="0.45">
      <c r="B28" s="12" t="s">
        <v>169</v>
      </c>
      <c r="C28" s="12"/>
      <c r="D28" s="35"/>
      <c r="E28" s="36"/>
      <c r="G28" s="34" t="s">
        <v>170</v>
      </c>
      <c r="H28" s="15"/>
      <c r="I28" s="15"/>
      <c r="J28" s="15"/>
      <c r="K28" s="27"/>
      <c r="L28" s="15"/>
      <c r="M28" s="15"/>
      <c r="N28" s="15"/>
      <c r="O28" s="15"/>
      <c r="P28" s="15"/>
      <c r="Q28" s="15"/>
      <c r="R28" s="16"/>
      <c r="S28" s="12"/>
      <c r="T28" s="11"/>
      <c r="U28" s="12"/>
      <c r="V28" s="18" t="s">
        <v>171</v>
      </c>
      <c r="W28" s="17" t="s">
        <v>34</v>
      </c>
      <c r="X28" s="17" t="s">
        <v>34</v>
      </c>
    </row>
    <row r="29" spans="1:24" ht="21.75" customHeight="1" x14ac:dyDescent="0.45">
      <c r="B29" s="12" t="s">
        <v>398</v>
      </c>
      <c r="C29" s="12"/>
      <c r="D29" s="35"/>
      <c r="E29" s="36"/>
      <c r="G29" s="34" t="s">
        <v>172</v>
      </c>
      <c r="H29" s="15"/>
      <c r="I29" s="15"/>
      <c r="J29" s="15"/>
      <c r="K29" s="27"/>
      <c r="L29" s="15"/>
      <c r="M29" s="15"/>
      <c r="N29" s="15"/>
      <c r="O29" s="15"/>
      <c r="P29" s="15"/>
      <c r="Q29" s="15"/>
      <c r="R29" s="16"/>
      <c r="S29" s="12"/>
      <c r="T29" s="11"/>
      <c r="U29" s="12"/>
      <c r="V29" s="18" t="s">
        <v>173</v>
      </c>
      <c r="W29" s="17" t="s">
        <v>34</v>
      </c>
      <c r="X29" s="17" t="s">
        <v>34</v>
      </c>
    </row>
    <row r="30" spans="1:24" ht="21.75" customHeight="1" x14ac:dyDescent="0.45">
      <c r="B30" s="12" t="s">
        <v>174</v>
      </c>
      <c r="C30" s="12"/>
      <c r="D30" s="35"/>
      <c r="E30" s="36"/>
      <c r="G30" s="34" t="s">
        <v>175</v>
      </c>
      <c r="H30" s="15"/>
      <c r="I30" s="15"/>
      <c r="J30" s="15"/>
      <c r="K30" s="27"/>
      <c r="L30" s="15"/>
      <c r="M30" s="15"/>
      <c r="N30" s="15"/>
      <c r="O30" s="15"/>
      <c r="P30" s="15"/>
      <c r="Q30" s="15"/>
      <c r="R30" s="16"/>
      <c r="S30" s="12"/>
      <c r="T30" s="11"/>
      <c r="U30" s="12"/>
      <c r="V30" s="18" t="s">
        <v>176</v>
      </c>
      <c r="W30" s="17" t="s">
        <v>34</v>
      </c>
      <c r="X30" s="17" t="s">
        <v>34</v>
      </c>
    </row>
    <row r="31" spans="1:24" ht="21.75" customHeight="1" x14ac:dyDescent="0.45">
      <c r="B31" s="12" t="s">
        <v>177</v>
      </c>
      <c r="C31" s="12"/>
      <c r="D31" s="35"/>
      <c r="E31" s="36"/>
      <c r="G31" s="34" t="s">
        <v>178</v>
      </c>
      <c r="H31" s="15"/>
      <c r="I31" s="15"/>
      <c r="J31" s="15"/>
      <c r="K31" s="27"/>
      <c r="L31" s="15"/>
      <c r="M31" s="15"/>
      <c r="N31" s="15"/>
      <c r="O31" s="15"/>
      <c r="P31" s="15"/>
      <c r="Q31" s="15"/>
      <c r="R31" s="16"/>
      <c r="S31" s="12"/>
      <c r="T31" s="11"/>
      <c r="U31" s="12"/>
      <c r="V31" s="18" t="s">
        <v>179</v>
      </c>
      <c r="W31" s="17" t="s">
        <v>34</v>
      </c>
      <c r="X31" s="17" t="s">
        <v>34</v>
      </c>
    </row>
    <row r="32" spans="1:24" ht="21.75" customHeight="1" x14ac:dyDescent="0.45">
      <c r="B32" s="12" t="s">
        <v>397</v>
      </c>
      <c r="C32" s="12"/>
      <c r="D32" s="35"/>
      <c r="E32" s="36"/>
      <c r="G32" s="34" t="s">
        <v>399</v>
      </c>
      <c r="H32" s="15"/>
      <c r="I32" s="15"/>
      <c r="J32" s="15"/>
      <c r="K32" s="27"/>
      <c r="L32" s="15"/>
      <c r="M32" s="15"/>
      <c r="N32" s="15"/>
      <c r="O32" s="15"/>
      <c r="P32" s="15"/>
      <c r="Q32" s="15"/>
      <c r="R32" s="16"/>
      <c r="S32" s="12"/>
      <c r="T32" s="11"/>
      <c r="U32" s="12"/>
      <c r="V32" s="18"/>
      <c r="W32" s="17"/>
      <c r="X32" s="17"/>
    </row>
    <row r="33" spans="1:24" ht="21.75" customHeight="1" x14ac:dyDescent="0.45">
      <c r="B33" s="12" t="s">
        <v>180</v>
      </c>
      <c r="C33" s="12"/>
      <c r="D33" s="35"/>
      <c r="E33" s="36"/>
      <c r="G33" s="34" t="s">
        <v>181</v>
      </c>
      <c r="H33" s="15"/>
      <c r="I33" s="15"/>
      <c r="J33" s="15"/>
      <c r="K33" s="27"/>
      <c r="L33" s="15"/>
      <c r="M33" s="15"/>
      <c r="N33" s="15"/>
      <c r="O33" s="15"/>
      <c r="P33" s="15"/>
      <c r="Q33" s="15"/>
      <c r="R33" s="16"/>
      <c r="S33" s="12"/>
      <c r="T33" s="11"/>
      <c r="U33" s="12"/>
      <c r="V33" s="18" t="s">
        <v>182</v>
      </c>
      <c r="W33" s="17" t="s">
        <v>34</v>
      </c>
      <c r="X33" s="17" t="s">
        <v>34</v>
      </c>
    </row>
    <row r="34" spans="1:24" ht="21.75" customHeight="1" x14ac:dyDescent="0.45">
      <c r="B34" s="12" t="s">
        <v>183</v>
      </c>
      <c r="C34" s="12"/>
      <c r="D34" s="35"/>
      <c r="E34" s="36"/>
      <c r="G34" s="34" t="s">
        <v>184</v>
      </c>
      <c r="H34" s="15"/>
      <c r="I34" s="15"/>
      <c r="J34" s="15"/>
      <c r="K34" s="27"/>
      <c r="L34" s="15"/>
      <c r="M34" s="15"/>
      <c r="N34" s="15"/>
      <c r="O34" s="15"/>
      <c r="P34" s="15"/>
      <c r="Q34" s="15"/>
      <c r="R34" s="16"/>
      <c r="S34" s="12"/>
      <c r="T34" s="11"/>
      <c r="U34" s="12"/>
      <c r="V34" s="18" t="s">
        <v>185</v>
      </c>
      <c r="W34" s="17" t="s">
        <v>34</v>
      </c>
      <c r="X34" s="17" t="s">
        <v>34</v>
      </c>
    </row>
    <row r="35" spans="1:24" ht="21.75" customHeight="1" x14ac:dyDescent="0.45">
      <c r="B35" s="12" t="s">
        <v>186</v>
      </c>
      <c r="C35" s="12"/>
      <c r="D35" s="35"/>
      <c r="E35" s="36"/>
      <c r="G35" s="34" t="s">
        <v>187</v>
      </c>
      <c r="H35" s="15"/>
      <c r="I35" s="15"/>
      <c r="J35" s="15"/>
      <c r="K35" s="27"/>
      <c r="L35" s="15"/>
      <c r="M35" s="15"/>
      <c r="N35" s="15"/>
      <c r="O35" s="15"/>
      <c r="P35" s="15"/>
      <c r="Q35" s="15"/>
      <c r="R35" s="16"/>
      <c r="S35" s="12"/>
      <c r="T35" s="11"/>
      <c r="U35" s="12"/>
      <c r="V35" s="18" t="s">
        <v>188</v>
      </c>
      <c r="W35" s="17" t="s">
        <v>34</v>
      </c>
      <c r="X35" s="17" t="s">
        <v>34</v>
      </c>
    </row>
    <row r="36" spans="1:24" ht="21.75" customHeight="1" x14ac:dyDescent="0.45">
      <c r="B36" s="12" t="s">
        <v>189</v>
      </c>
      <c r="C36" s="12"/>
      <c r="D36" s="35"/>
      <c r="E36" s="36"/>
      <c r="G36" s="34" t="s">
        <v>190</v>
      </c>
      <c r="H36" s="15"/>
      <c r="I36" s="15"/>
      <c r="J36" s="15"/>
      <c r="K36" s="27"/>
      <c r="L36" s="15"/>
      <c r="M36" s="15"/>
      <c r="N36" s="15"/>
      <c r="O36" s="15"/>
      <c r="P36" s="15"/>
      <c r="Q36" s="15"/>
      <c r="R36" s="16"/>
      <c r="S36" s="12"/>
      <c r="T36" s="11"/>
      <c r="U36" s="12"/>
      <c r="V36" s="18" t="s">
        <v>191</v>
      </c>
      <c r="W36" s="17" t="s">
        <v>34</v>
      </c>
      <c r="X36" s="17" t="s">
        <v>34</v>
      </c>
    </row>
    <row r="37" spans="1:24" ht="19.5" customHeight="1" x14ac:dyDescent="0.45">
      <c r="B37" s="12" t="s">
        <v>192</v>
      </c>
      <c r="C37" s="12"/>
      <c r="D37" s="35"/>
      <c r="E37" s="36"/>
      <c r="G37" s="34" t="s">
        <v>193</v>
      </c>
      <c r="H37" s="15"/>
      <c r="I37" s="15"/>
      <c r="J37" s="15"/>
      <c r="K37" s="27"/>
      <c r="L37" s="15"/>
      <c r="M37" s="15"/>
      <c r="N37" s="15"/>
      <c r="O37" s="15"/>
      <c r="P37" s="15"/>
      <c r="Q37" s="15"/>
      <c r="R37" s="16"/>
      <c r="S37" s="12"/>
      <c r="T37" s="11"/>
      <c r="U37" s="12"/>
      <c r="V37" s="18" t="s">
        <v>194</v>
      </c>
      <c r="W37" s="17" t="s">
        <v>34</v>
      </c>
      <c r="X37" s="17" t="s">
        <v>34</v>
      </c>
    </row>
    <row r="38" spans="1:24" ht="19.5" customHeight="1" x14ac:dyDescent="0.45">
      <c r="B38" s="12" t="s">
        <v>195</v>
      </c>
      <c r="C38" s="12"/>
      <c r="D38" s="35"/>
      <c r="E38" s="36"/>
      <c r="G38" s="34" t="s">
        <v>196</v>
      </c>
      <c r="H38" s="15"/>
      <c r="I38" s="15"/>
      <c r="J38" s="15"/>
      <c r="K38" s="27"/>
      <c r="L38" s="15"/>
      <c r="M38" s="15"/>
      <c r="N38" s="15"/>
      <c r="O38" s="15"/>
      <c r="P38" s="15"/>
      <c r="Q38" s="15"/>
      <c r="R38" s="16"/>
      <c r="S38" s="12"/>
      <c r="T38" s="11"/>
      <c r="U38" s="12"/>
      <c r="V38" s="18" t="s">
        <v>197</v>
      </c>
      <c r="W38" s="17" t="s">
        <v>34</v>
      </c>
      <c r="X38" s="17" t="s">
        <v>34</v>
      </c>
    </row>
    <row r="39" spans="1:24" ht="84" customHeight="1" x14ac:dyDescent="0.45">
      <c r="A39" s="11" t="s">
        <v>25</v>
      </c>
      <c r="B39" s="12" t="s">
        <v>198</v>
      </c>
      <c r="C39" s="12" t="s">
        <v>199</v>
      </c>
      <c r="D39" s="39" t="s">
        <v>200</v>
      </c>
      <c r="E39" s="36" t="s">
        <v>201</v>
      </c>
      <c r="F39" s="30" t="s">
        <v>122</v>
      </c>
      <c r="G39" s="30"/>
      <c r="H39" s="15" t="s">
        <v>123</v>
      </c>
      <c r="I39" s="15" t="s">
        <v>47</v>
      </c>
      <c r="J39" s="15" t="s">
        <v>202</v>
      </c>
      <c r="K39" s="15" t="s">
        <v>32</v>
      </c>
      <c r="L39" s="15" t="s">
        <v>203</v>
      </c>
      <c r="M39" s="15" t="s">
        <v>33</v>
      </c>
      <c r="N39" s="15"/>
      <c r="O39" s="15" t="s">
        <v>121</v>
      </c>
      <c r="P39" s="15"/>
      <c r="Q39" s="15"/>
      <c r="R39" s="16"/>
      <c r="S39" s="12"/>
      <c r="T39" s="11"/>
      <c r="U39" s="12"/>
      <c r="V39" s="18" t="s">
        <v>204</v>
      </c>
      <c r="W39" s="17" t="s">
        <v>34</v>
      </c>
      <c r="X39" s="17" t="s">
        <v>34</v>
      </c>
    </row>
    <row r="40" spans="1:24" ht="19.5" customHeight="1" x14ac:dyDescent="0.45">
      <c r="B40" s="12" t="s">
        <v>205</v>
      </c>
      <c r="C40" s="12"/>
      <c r="D40" s="39"/>
      <c r="E40" s="36"/>
      <c r="G40" s="34" t="s">
        <v>126</v>
      </c>
      <c r="H40" s="15"/>
      <c r="I40" s="15"/>
      <c r="J40" s="15"/>
      <c r="K40" s="27"/>
      <c r="L40" s="15"/>
      <c r="M40" s="15"/>
      <c r="N40" s="15"/>
      <c r="O40" s="15"/>
      <c r="P40" s="15"/>
      <c r="Q40" s="40" t="s">
        <v>127</v>
      </c>
      <c r="S40" s="33"/>
      <c r="T40" s="33"/>
      <c r="U40" s="33"/>
      <c r="V40" s="18" t="s">
        <v>206</v>
      </c>
      <c r="W40" s="17" t="s">
        <v>34</v>
      </c>
      <c r="X40" s="17" t="s">
        <v>34</v>
      </c>
    </row>
    <row r="41" spans="1:24" ht="15.75" customHeight="1" x14ac:dyDescent="0.2">
      <c r="B41" s="12" t="s">
        <v>207</v>
      </c>
      <c r="C41" s="12"/>
      <c r="D41" s="12"/>
      <c r="E41" s="30"/>
      <c r="G41" s="41" t="s">
        <v>208</v>
      </c>
      <c r="N41" s="15"/>
      <c r="O41" s="15"/>
      <c r="P41" s="15"/>
      <c r="Q41" s="40" t="s">
        <v>125</v>
      </c>
      <c r="S41" s="33"/>
      <c r="T41" s="33"/>
      <c r="U41" s="33"/>
      <c r="V41" s="18" t="s">
        <v>209</v>
      </c>
      <c r="W41" s="17" t="s">
        <v>34</v>
      </c>
      <c r="X41" s="17" t="s">
        <v>34</v>
      </c>
    </row>
    <row r="42" spans="1:24" s="5" customFormat="1" ht="21.95" customHeight="1" x14ac:dyDescent="0.2">
      <c r="B42" s="6" t="s">
        <v>214</v>
      </c>
      <c r="E42" s="29"/>
      <c r="F42" s="29"/>
      <c r="G42" s="29"/>
      <c r="H42" s="9"/>
      <c r="I42" s="9"/>
      <c r="J42" s="9"/>
      <c r="K42" s="9"/>
      <c r="L42" s="9"/>
      <c r="M42" s="9"/>
      <c r="N42" s="9"/>
      <c r="O42" s="9"/>
      <c r="P42" s="9"/>
      <c r="Q42" s="9"/>
      <c r="R42" s="10"/>
      <c r="W42" s="9"/>
    </row>
    <row r="43" spans="1:24" ht="42" customHeight="1" x14ac:dyDescent="0.2">
      <c r="A43" s="11" t="s">
        <v>25</v>
      </c>
      <c r="B43" s="12" t="s">
        <v>215</v>
      </c>
      <c r="C43" s="12" t="s">
        <v>216</v>
      </c>
      <c r="D43" s="13" t="s">
        <v>217</v>
      </c>
      <c r="E43" s="42" t="s">
        <v>218</v>
      </c>
      <c r="F43" s="30"/>
      <c r="G43" s="34" t="s">
        <v>219</v>
      </c>
      <c r="H43" s="15" t="s">
        <v>220</v>
      </c>
      <c r="I43" s="15" t="s">
        <v>221</v>
      </c>
      <c r="J43" s="15" t="s">
        <v>222</v>
      </c>
      <c r="K43" s="24" t="s">
        <v>60</v>
      </c>
      <c r="L43" s="15" t="s">
        <v>223</v>
      </c>
      <c r="M43" s="15"/>
      <c r="N43" s="15"/>
      <c r="O43" s="15" t="s">
        <v>124</v>
      </c>
      <c r="P43" s="15" t="s">
        <v>224</v>
      </c>
      <c r="Q43" s="15"/>
      <c r="R43" s="16"/>
      <c r="S43" s="12"/>
      <c r="T43" s="31" t="s">
        <v>225</v>
      </c>
      <c r="U43" s="12" t="s">
        <v>226</v>
      </c>
      <c r="V43" s="17" t="s">
        <v>34</v>
      </c>
      <c r="W43" s="20" t="s">
        <v>227</v>
      </c>
      <c r="X43" s="17" t="s">
        <v>34</v>
      </c>
    </row>
    <row r="44" spans="1:24" ht="42" customHeight="1" x14ac:dyDescent="0.2">
      <c r="A44" s="11" t="s">
        <v>25</v>
      </c>
      <c r="B44" s="12" t="s">
        <v>228</v>
      </c>
      <c r="C44" s="12" t="s">
        <v>229</v>
      </c>
      <c r="D44" s="13" t="s">
        <v>230</v>
      </c>
      <c r="E44" s="42" t="s">
        <v>218</v>
      </c>
      <c r="F44" s="46" t="s">
        <v>400</v>
      </c>
      <c r="G44" s="34" t="s">
        <v>231</v>
      </c>
      <c r="H44" s="15" t="s">
        <v>220</v>
      </c>
      <c r="I44" s="15" t="s">
        <v>221</v>
      </c>
      <c r="J44" s="15" t="s">
        <v>222</v>
      </c>
      <c r="K44" s="24" t="s">
        <v>60</v>
      </c>
      <c r="L44" s="15" t="s">
        <v>232</v>
      </c>
      <c r="M44" s="15"/>
      <c r="N44" s="15"/>
      <c r="O44" s="15" t="s">
        <v>124</v>
      </c>
      <c r="P44" s="15"/>
      <c r="Q44" s="15"/>
      <c r="R44" s="16"/>
      <c r="S44" s="12"/>
      <c r="T44" s="11" t="s">
        <v>233</v>
      </c>
      <c r="U44" s="12" t="s">
        <v>234</v>
      </c>
      <c r="V44" s="17" t="s">
        <v>34</v>
      </c>
      <c r="W44" s="20" t="s">
        <v>235</v>
      </c>
      <c r="X44" s="17" t="s">
        <v>34</v>
      </c>
    </row>
    <row r="45" spans="1:24" ht="42" customHeight="1" x14ac:dyDescent="0.2">
      <c r="A45" s="11" t="s">
        <v>25</v>
      </c>
      <c r="B45" s="12" t="s">
        <v>236</v>
      </c>
      <c r="C45" s="12" t="s">
        <v>229</v>
      </c>
      <c r="D45" s="13" t="s">
        <v>230</v>
      </c>
      <c r="E45" s="42" t="s">
        <v>218</v>
      </c>
      <c r="F45" s="47"/>
      <c r="G45" s="34" t="s">
        <v>237</v>
      </c>
      <c r="H45" s="15" t="s">
        <v>220</v>
      </c>
      <c r="I45" s="15" t="s">
        <v>221</v>
      </c>
      <c r="J45" s="15" t="s">
        <v>222</v>
      </c>
      <c r="K45" s="24" t="s">
        <v>60</v>
      </c>
      <c r="L45" s="15" t="s">
        <v>238</v>
      </c>
      <c r="M45" s="15"/>
      <c r="N45" s="15"/>
      <c r="O45" s="15" t="s">
        <v>124</v>
      </c>
      <c r="P45" s="15"/>
      <c r="Q45" s="15"/>
      <c r="R45" s="16"/>
      <c r="S45" s="12"/>
      <c r="T45" s="11" t="s">
        <v>233</v>
      </c>
      <c r="U45" s="12" t="s">
        <v>234</v>
      </c>
      <c r="V45" s="17" t="s">
        <v>34</v>
      </c>
      <c r="W45" s="20" t="s">
        <v>239</v>
      </c>
      <c r="X45" s="17" t="s">
        <v>34</v>
      </c>
    </row>
    <row r="46" spans="1:24" ht="42" customHeight="1" x14ac:dyDescent="0.2">
      <c r="A46" s="11" t="s">
        <v>25</v>
      </c>
      <c r="B46" s="12" t="s">
        <v>240</v>
      </c>
      <c r="C46" s="12" t="s">
        <v>229</v>
      </c>
      <c r="D46" s="13" t="s">
        <v>230</v>
      </c>
      <c r="E46" s="42" t="s">
        <v>218</v>
      </c>
      <c r="F46" s="47"/>
      <c r="G46" s="34" t="s">
        <v>241</v>
      </c>
      <c r="H46" s="15" t="s">
        <v>220</v>
      </c>
      <c r="I46" s="15" t="s">
        <v>221</v>
      </c>
      <c r="J46" s="15" t="s">
        <v>222</v>
      </c>
      <c r="K46" s="24" t="s">
        <v>60</v>
      </c>
      <c r="L46" s="15" t="s">
        <v>242</v>
      </c>
      <c r="M46" s="15"/>
      <c r="N46" s="15"/>
      <c r="O46" s="15" t="s">
        <v>124</v>
      </c>
      <c r="P46" s="15"/>
      <c r="Q46" s="15"/>
      <c r="R46" s="16"/>
      <c r="S46" s="12"/>
      <c r="T46" s="11" t="s">
        <v>233</v>
      </c>
      <c r="U46" s="12" t="s">
        <v>234</v>
      </c>
      <c r="V46" s="17" t="s">
        <v>34</v>
      </c>
      <c r="W46" s="20" t="s">
        <v>243</v>
      </c>
      <c r="X46" s="17" t="s">
        <v>34</v>
      </c>
    </row>
    <row r="47" spans="1:24" ht="42" customHeight="1" x14ac:dyDescent="0.2">
      <c r="A47" s="11" t="s">
        <v>25</v>
      </c>
      <c r="B47" s="12" t="s">
        <v>244</v>
      </c>
      <c r="C47" s="12" t="s">
        <v>229</v>
      </c>
      <c r="D47" s="13" t="s">
        <v>230</v>
      </c>
      <c r="E47" s="42" t="s">
        <v>218</v>
      </c>
      <c r="F47" s="47"/>
      <c r="G47" s="34" t="s">
        <v>245</v>
      </c>
      <c r="H47" s="15" t="s">
        <v>220</v>
      </c>
      <c r="I47" s="15" t="s">
        <v>221</v>
      </c>
      <c r="J47" s="15" t="s">
        <v>222</v>
      </c>
      <c r="K47" s="24" t="s">
        <v>60</v>
      </c>
      <c r="L47" s="15" t="s">
        <v>246</v>
      </c>
      <c r="M47" s="15"/>
      <c r="N47" s="15"/>
      <c r="O47" s="15" t="s">
        <v>124</v>
      </c>
      <c r="P47" s="15"/>
      <c r="Q47" s="15"/>
      <c r="R47" s="16"/>
      <c r="S47" s="12"/>
      <c r="T47" s="11" t="s">
        <v>233</v>
      </c>
      <c r="U47" s="12" t="s">
        <v>234</v>
      </c>
      <c r="V47" s="17" t="s">
        <v>34</v>
      </c>
      <c r="W47" s="20" t="s">
        <v>247</v>
      </c>
      <c r="X47" s="17" t="s">
        <v>34</v>
      </c>
    </row>
    <row r="48" spans="1:24" ht="42" customHeight="1" x14ac:dyDescent="0.2">
      <c r="A48" s="11" t="s">
        <v>25</v>
      </c>
      <c r="B48" s="12" t="s">
        <v>248</v>
      </c>
      <c r="C48" s="12" t="s">
        <v>229</v>
      </c>
      <c r="D48" s="13" t="s">
        <v>230</v>
      </c>
      <c r="E48" s="42" t="s">
        <v>218</v>
      </c>
      <c r="F48" s="45"/>
      <c r="G48" s="34" t="s">
        <v>249</v>
      </c>
      <c r="H48" s="15" t="s">
        <v>220</v>
      </c>
      <c r="I48" s="15" t="s">
        <v>221</v>
      </c>
      <c r="J48" s="15" t="s">
        <v>222</v>
      </c>
      <c r="K48" s="24" t="s">
        <v>60</v>
      </c>
      <c r="L48" s="15" t="s">
        <v>250</v>
      </c>
      <c r="M48" s="15"/>
      <c r="N48" s="15"/>
      <c r="O48" s="15" t="s">
        <v>124</v>
      </c>
      <c r="P48" s="15"/>
      <c r="Q48" s="15"/>
      <c r="R48" s="16"/>
      <c r="S48" s="12"/>
      <c r="T48" s="11" t="s">
        <v>233</v>
      </c>
      <c r="U48" s="12" t="s">
        <v>234</v>
      </c>
      <c r="V48" s="17" t="s">
        <v>34</v>
      </c>
      <c r="W48" s="20" t="s">
        <v>251</v>
      </c>
      <c r="X48" s="17" t="s">
        <v>34</v>
      </c>
    </row>
    <row r="49" spans="1:24" ht="42" customHeight="1" x14ac:dyDescent="0.2">
      <c r="A49" s="11" t="s">
        <v>25</v>
      </c>
      <c r="B49" s="12" t="s">
        <v>252</v>
      </c>
      <c r="C49" s="12" t="s">
        <v>229</v>
      </c>
      <c r="D49" s="13" t="s">
        <v>253</v>
      </c>
      <c r="E49" s="42"/>
      <c r="F49" s="30"/>
      <c r="G49" s="34" t="s">
        <v>254</v>
      </c>
      <c r="H49" s="15" t="s">
        <v>220</v>
      </c>
      <c r="I49" s="15" t="s">
        <v>221</v>
      </c>
      <c r="J49" s="15" t="s">
        <v>222</v>
      </c>
      <c r="K49" s="24" t="s">
        <v>60</v>
      </c>
      <c r="L49" s="15"/>
      <c r="M49" s="15" t="s">
        <v>33</v>
      </c>
      <c r="N49" s="15"/>
      <c r="O49" s="15" t="s">
        <v>124</v>
      </c>
      <c r="P49" s="15" t="s">
        <v>255</v>
      </c>
      <c r="Q49" s="15"/>
      <c r="R49" s="16"/>
      <c r="S49" s="12"/>
      <c r="T49" s="11"/>
      <c r="U49" s="12"/>
      <c r="V49" s="17" t="s">
        <v>34</v>
      </c>
      <c r="W49" s="20" t="s">
        <v>256</v>
      </c>
      <c r="X49" s="17" t="s">
        <v>34</v>
      </c>
    </row>
    <row r="50" spans="1:24" ht="42" customHeight="1" x14ac:dyDescent="0.2">
      <c r="A50" s="11" t="s">
        <v>25</v>
      </c>
      <c r="B50" s="12" t="s">
        <v>257</v>
      </c>
      <c r="C50" s="12" t="s">
        <v>229</v>
      </c>
      <c r="D50" s="13" t="s">
        <v>258</v>
      </c>
      <c r="E50" s="42" t="s">
        <v>259</v>
      </c>
      <c r="F50" s="30"/>
      <c r="G50" s="30" t="s">
        <v>260</v>
      </c>
      <c r="H50" s="15" t="s">
        <v>261</v>
      </c>
      <c r="I50" s="15" t="s">
        <v>47</v>
      </c>
      <c r="J50" s="15" t="s">
        <v>108</v>
      </c>
      <c r="K50" s="15" t="s">
        <v>32</v>
      </c>
      <c r="L50" s="15"/>
      <c r="M50" s="15" t="s">
        <v>33</v>
      </c>
      <c r="N50" s="15"/>
      <c r="O50" s="15" t="s">
        <v>124</v>
      </c>
      <c r="P50" s="15" t="s">
        <v>262</v>
      </c>
      <c r="Q50" s="15"/>
      <c r="R50" s="16"/>
      <c r="S50" s="12"/>
      <c r="T50" s="11"/>
      <c r="U50" s="12"/>
      <c r="V50" s="17" t="s">
        <v>34</v>
      </c>
      <c r="W50" s="20" t="s">
        <v>263</v>
      </c>
      <c r="X50" s="17" t="s">
        <v>34</v>
      </c>
    </row>
    <row r="51" spans="1:24" ht="42" customHeight="1" x14ac:dyDescent="0.2">
      <c r="A51" s="11" t="s">
        <v>25</v>
      </c>
      <c r="B51" s="12" t="s">
        <v>264</v>
      </c>
      <c r="C51" s="12" t="s">
        <v>229</v>
      </c>
      <c r="D51" s="13" t="s">
        <v>265</v>
      </c>
      <c r="E51" s="42" t="s">
        <v>266</v>
      </c>
      <c r="F51" s="30" t="s">
        <v>267</v>
      </c>
      <c r="G51" s="34" t="s">
        <v>268</v>
      </c>
      <c r="H51" s="23" t="s">
        <v>269</v>
      </c>
      <c r="I51" s="15" t="s">
        <v>221</v>
      </c>
      <c r="J51" s="15" t="s">
        <v>270</v>
      </c>
      <c r="K51" s="15" t="s">
        <v>32</v>
      </c>
      <c r="L51" s="15"/>
      <c r="M51" s="15" t="s">
        <v>271</v>
      </c>
      <c r="O51" s="15" t="s">
        <v>124</v>
      </c>
      <c r="Q51" s="15"/>
      <c r="R51" s="16"/>
      <c r="S51" s="12"/>
      <c r="T51" s="11"/>
      <c r="U51" s="12"/>
      <c r="V51" s="17" t="s">
        <v>34</v>
      </c>
      <c r="W51" s="20" t="s">
        <v>272</v>
      </c>
      <c r="X51" s="17" t="s">
        <v>34</v>
      </c>
    </row>
    <row r="52" spans="1:24" s="5" customFormat="1" ht="21.95" customHeight="1" x14ac:dyDescent="0.2">
      <c r="B52" s="6" t="s">
        <v>276</v>
      </c>
      <c r="E52" s="29"/>
      <c r="F52" s="29"/>
      <c r="G52" s="29"/>
      <c r="H52" s="9"/>
      <c r="I52" s="9"/>
      <c r="J52" s="9"/>
      <c r="K52" s="9"/>
      <c r="L52" s="9"/>
      <c r="M52" s="9"/>
      <c r="N52" s="9"/>
      <c r="O52" s="9"/>
      <c r="P52" s="9"/>
      <c r="Q52" s="9"/>
      <c r="R52" s="10"/>
      <c r="W52" s="9"/>
    </row>
    <row r="53" spans="1:24" ht="42" customHeight="1" x14ac:dyDescent="0.2">
      <c r="A53" s="11" t="s">
        <v>25</v>
      </c>
      <c r="B53" s="12" t="s">
        <v>277</v>
      </c>
      <c r="C53" s="12"/>
      <c r="D53" s="13" t="s">
        <v>278</v>
      </c>
      <c r="E53" s="30"/>
      <c r="F53" s="30" t="s">
        <v>279</v>
      </c>
      <c r="G53" s="30"/>
      <c r="H53" s="23" t="s">
        <v>275</v>
      </c>
      <c r="I53" s="15" t="s">
        <v>280</v>
      </c>
      <c r="J53" s="15"/>
      <c r="K53" s="15" t="s">
        <v>32</v>
      </c>
      <c r="L53" s="15"/>
      <c r="M53" s="15" t="s">
        <v>33</v>
      </c>
      <c r="N53" s="15"/>
      <c r="O53" s="15"/>
      <c r="P53" s="15" t="s">
        <v>281</v>
      </c>
      <c r="Q53" s="15"/>
      <c r="R53" s="16"/>
      <c r="S53" s="12"/>
      <c r="T53" s="11" t="s">
        <v>50</v>
      </c>
      <c r="U53" s="12" t="s">
        <v>282</v>
      </c>
      <c r="V53" s="17" t="s">
        <v>34</v>
      </c>
      <c r="W53" s="17" t="s">
        <v>283</v>
      </c>
      <c r="X53" s="17" t="s">
        <v>34</v>
      </c>
    </row>
    <row r="54" spans="1:24" ht="42" customHeight="1" x14ac:dyDescent="0.2">
      <c r="A54" s="11" t="s">
        <v>25</v>
      </c>
      <c r="B54" s="12" t="s">
        <v>284</v>
      </c>
      <c r="C54" s="12"/>
      <c r="D54" s="13" t="s">
        <v>285</v>
      </c>
      <c r="E54" s="30"/>
      <c r="F54" s="30"/>
      <c r="G54" s="34" t="s">
        <v>286</v>
      </c>
      <c r="H54" s="15" t="s">
        <v>273</v>
      </c>
      <c r="I54" s="15" t="s">
        <v>280</v>
      </c>
      <c r="J54" s="15"/>
      <c r="K54" s="15" t="s">
        <v>32</v>
      </c>
      <c r="L54" s="15" t="s">
        <v>287</v>
      </c>
      <c r="M54" s="15" t="s">
        <v>33</v>
      </c>
      <c r="N54" s="15"/>
      <c r="O54" s="15"/>
      <c r="P54" s="15" t="s">
        <v>288</v>
      </c>
      <c r="Q54" s="15"/>
      <c r="R54" s="16"/>
      <c r="S54" s="12"/>
      <c r="T54" s="11" t="s">
        <v>50</v>
      </c>
      <c r="U54" s="12" t="s">
        <v>289</v>
      </c>
      <c r="V54" s="17" t="s">
        <v>34</v>
      </c>
      <c r="W54" s="17" t="s">
        <v>283</v>
      </c>
      <c r="X54" s="17" t="s">
        <v>34</v>
      </c>
    </row>
    <row r="55" spans="1:24" ht="42" customHeight="1" x14ac:dyDescent="0.45">
      <c r="A55" s="11" t="s">
        <v>25</v>
      </c>
      <c r="B55" s="12" t="s">
        <v>290</v>
      </c>
      <c r="C55" s="12"/>
      <c r="D55" s="43" t="s">
        <v>291</v>
      </c>
      <c r="E55" s="30"/>
      <c r="F55" s="30" t="s">
        <v>292</v>
      </c>
      <c r="G55" s="30"/>
      <c r="H55" s="23" t="s">
        <v>274</v>
      </c>
      <c r="I55" s="15" t="s">
        <v>280</v>
      </c>
      <c r="J55" s="15"/>
      <c r="K55" s="15" t="s">
        <v>32</v>
      </c>
      <c r="L55" s="15" t="s">
        <v>287</v>
      </c>
      <c r="M55" s="15" t="s">
        <v>33</v>
      </c>
      <c r="N55" s="15"/>
      <c r="O55" s="15"/>
      <c r="P55" s="15" t="s">
        <v>293</v>
      </c>
      <c r="Q55" s="15"/>
      <c r="R55" s="16"/>
      <c r="S55" s="12"/>
      <c r="T55" s="11" t="s">
        <v>50</v>
      </c>
      <c r="U55" s="12" t="s">
        <v>294</v>
      </c>
      <c r="V55" s="17" t="s">
        <v>34</v>
      </c>
      <c r="W55" s="17" t="s">
        <v>283</v>
      </c>
      <c r="X55" s="17" t="s">
        <v>34</v>
      </c>
    </row>
    <row r="56" spans="1:24" ht="42" customHeight="1" x14ac:dyDescent="0.45">
      <c r="A56" s="11" t="s">
        <v>25</v>
      </c>
      <c r="B56" s="12" t="s">
        <v>295</v>
      </c>
      <c r="C56" s="12"/>
      <c r="D56" s="43" t="s">
        <v>296</v>
      </c>
      <c r="E56" s="30"/>
      <c r="F56" s="30"/>
      <c r="G56" s="30" t="s">
        <v>297</v>
      </c>
      <c r="H56" s="15" t="s">
        <v>273</v>
      </c>
      <c r="I56" s="15" t="s">
        <v>280</v>
      </c>
      <c r="J56" s="15"/>
      <c r="K56" s="15" t="s">
        <v>32</v>
      </c>
      <c r="L56" s="15" t="s">
        <v>287</v>
      </c>
      <c r="M56" s="15" t="s">
        <v>33</v>
      </c>
      <c r="N56" s="15"/>
      <c r="O56" s="15"/>
      <c r="P56" s="15" t="s">
        <v>298</v>
      </c>
      <c r="Q56" s="15"/>
      <c r="R56" s="16"/>
      <c r="S56" s="12"/>
      <c r="T56" s="11" t="s">
        <v>50</v>
      </c>
      <c r="U56" s="12" t="s">
        <v>299</v>
      </c>
      <c r="V56" s="17" t="s">
        <v>34</v>
      </c>
      <c r="W56" s="17" t="s">
        <v>283</v>
      </c>
      <c r="X56" s="17" t="s">
        <v>34</v>
      </c>
    </row>
    <row r="57" spans="1:24" ht="42" customHeight="1" x14ac:dyDescent="0.2">
      <c r="A57" s="11" t="s">
        <v>25</v>
      </c>
      <c r="B57" s="12" t="s">
        <v>300</v>
      </c>
      <c r="C57" s="12"/>
      <c r="D57" s="13" t="s">
        <v>301</v>
      </c>
      <c r="E57" s="30"/>
      <c r="F57" s="30"/>
      <c r="G57" s="30" t="s">
        <v>302</v>
      </c>
      <c r="H57" s="15" t="s">
        <v>46</v>
      </c>
      <c r="I57" s="15" t="s">
        <v>47</v>
      </c>
      <c r="J57" s="15" t="s">
        <v>108</v>
      </c>
      <c r="K57" s="15" t="s">
        <v>32</v>
      </c>
      <c r="L57" s="15"/>
      <c r="M57" s="15" t="s">
        <v>33</v>
      </c>
      <c r="N57" s="15"/>
      <c r="O57" s="15"/>
      <c r="P57" s="15" t="s">
        <v>303</v>
      </c>
      <c r="Q57" s="15"/>
      <c r="R57" s="16"/>
      <c r="S57" s="12"/>
      <c r="T57" s="11" t="s">
        <v>110</v>
      </c>
      <c r="U57" s="12" t="s">
        <v>304</v>
      </c>
      <c r="V57" s="17" t="s">
        <v>34</v>
      </c>
      <c r="W57" s="17" t="s">
        <v>34</v>
      </c>
      <c r="X57" s="19" t="s">
        <v>305</v>
      </c>
    </row>
    <row r="58" spans="1:24" ht="42" customHeight="1" x14ac:dyDescent="0.2">
      <c r="A58" s="11" t="s">
        <v>25</v>
      </c>
      <c r="B58" s="12" t="s">
        <v>306</v>
      </c>
      <c r="C58" s="12"/>
      <c r="D58" s="13" t="s">
        <v>307</v>
      </c>
      <c r="E58" s="30"/>
      <c r="F58" s="12"/>
      <c r="G58" s="30" t="s">
        <v>308</v>
      </c>
      <c r="H58" s="15" t="s">
        <v>213</v>
      </c>
      <c r="I58" s="15" t="s">
        <v>47</v>
      </c>
      <c r="J58" s="15" t="s">
        <v>211</v>
      </c>
      <c r="K58" s="15" t="s">
        <v>32</v>
      </c>
      <c r="L58" s="15"/>
      <c r="M58" s="15" t="s">
        <v>33</v>
      </c>
      <c r="N58" s="15"/>
      <c r="O58" s="15"/>
      <c r="P58" s="15" t="s">
        <v>303</v>
      </c>
      <c r="Q58" s="15" t="s">
        <v>309</v>
      </c>
      <c r="R58" s="16"/>
      <c r="S58" s="12"/>
      <c r="T58" s="11" t="s">
        <v>212</v>
      </c>
      <c r="U58" s="12" t="s">
        <v>310</v>
      </c>
      <c r="V58" s="17" t="s">
        <v>34</v>
      </c>
      <c r="W58" s="17" t="s">
        <v>34</v>
      </c>
      <c r="X58" s="19" t="s">
        <v>311</v>
      </c>
    </row>
    <row r="59" spans="1:24" ht="42" customHeight="1" x14ac:dyDescent="0.2">
      <c r="A59" s="11" t="s">
        <v>25</v>
      </c>
      <c r="B59" s="12" t="s">
        <v>312</v>
      </c>
      <c r="C59" s="12"/>
      <c r="D59" s="13" t="s">
        <v>313</v>
      </c>
      <c r="E59" s="30"/>
      <c r="F59" s="30"/>
      <c r="G59" s="30" t="s">
        <v>314</v>
      </c>
      <c r="H59" s="15" t="s">
        <v>46</v>
      </c>
      <c r="I59" s="15" t="s">
        <v>47</v>
      </c>
      <c r="J59" s="15" t="s">
        <v>108</v>
      </c>
      <c r="K59" s="15" t="s">
        <v>32</v>
      </c>
      <c r="L59" s="15"/>
      <c r="M59" s="15" t="s">
        <v>33</v>
      </c>
      <c r="N59" s="15"/>
      <c r="O59" s="15"/>
      <c r="P59" s="15" t="s">
        <v>315</v>
      </c>
      <c r="Q59" s="15"/>
      <c r="R59" s="16"/>
      <c r="S59" s="12"/>
      <c r="T59" s="11" t="s">
        <v>110</v>
      </c>
      <c r="U59" s="12" t="s">
        <v>316</v>
      </c>
      <c r="V59" s="17" t="s">
        <v>34</v>
      </c>
      <c r="W59" s="17" t="s">
        <v>34</v>
      </c>
      <c r="X59" s="17" t="s">
        <v>317</v>
      </c>
    </row>
    <row r="60" spans="1:24" ht="42" customHeight="1" x14ac:dyDescent="0.2">
      <c r="A60" s="11" t="s">
        <v>25</v>
      </c>
      <c r="B60" s="12" t="s">
        <v>318</v>
      </c>
      <c r="C60" s="12"/>
      <c r="D60" s="13" t="s">
        <v>319</v>
      </c>
      <c r="E60" s="30"/>
      <c r="F60" s="30"/>
      <c r="G60" s="30" t="s">
        <v>302</v>
      </c>
      <c r="H60" s="15" t="s">
        <v>46</v>
      </c>
      <c r="I60" s="15" t="s">
        <v>47</v>
      </c>
      <c r="J60" s="15" t="s">
        <v>108</v>
      </c>
      <c r="K60" s="15" t="s">
        <v>32</v>
      </c>
      <c r="L60" s="15"/>
      <c r="M60" s="15" t="s">
        <v>33</v>
      </c>
      <c r="N60" s="15"/>
      <c r="O60" s="15"/>
      <c r="P60" s="15" t="s">
        <v>210</v>
      </c>
      <c r="Q60" s="15"/>
      <c r="R60" s="16"/>
      <c r="S60" s="12"/>
      <c r="T60" s="11" t="s">
        <v>110</v>
      </c>
      <c r="U60" s="12" t="s">
        <v>320</v>
      </c>
      <c r="V60" s="17" t="s">
        <v>34</v>
      </c>
      <c r="W60" s="17" t="s">
        <v>34</v>
      </c>
      <c r="X60" s="17" t="s">
        <v>321</v>
      </c>
    </row>
    <row r="61" spans="1:24" ht="42" customHeight="1" x14ac:dyDescent="0.2">
      <c r="A61" s="11" t="s">
        <v>25</v>
      </c>
      <c r="B61" s="12" t="s">
        <v>322</v>
      </c>
      <c r="C61" s="12"/>
      <c r="D61" s="13" t="s">
        <v>323</v>
      </c>
      <c r="E61" s="30"/>
      <c r="F61" s="30"/>
      <c r="G61" s="30" t="s">
        <v>324</v>
      </c>
      <c r="H61" s="15" t="s">
        <v>325</v>
      </c>
      <c r="I61" s="15" t="s">
        <v>47</v>
      </c>
      <c r="J61" s="15" t="s">
        <v>211</v>
      </c>
      <c r="K61" s="15" t="s">
        <v>32</v>
      </c>
      <c r="L61" s="15"/>
      <c r="M61" s="15" t="s">
        <v>33</v>
      </c>
      <c r="N61" s="15"/>
      <c r="O61" s="15"/>
      <c r="P61" s="15" t="s">
        <v>326</v>
      </c>
      <c r="Q61" s="15" t="s">
        <v>327</v>
      </c>
      <c r="R61" s="16"/>
      <c r="S61" s="12"/>
      <c r="T61" s="11" t="s">
        <v>212</v>
      </c>
      <c r="U61" s="12" t="s">
        <v>328</v>
      </c>
      <c r="V61" s="17" t="s">
        <v>34</v>
      </c>
      <c r="W61" s="17" t="s">
        <v>34</v>
      </c>
      <c r="X61" s="19" t="s">
        <v>329</v>
      </c>
    </row>
    <row r="62" spans="1:24" ht="42" customHeight="1" x14ac:dyDescent="0.2">
      <c r="A62" s="11" t="s">
        <v>25</v>
      </c>
      <c r="B62" s="12" t="s">
        <v>330</v>
      </c>
      <c r="C62" s="12"/>
      <c r="D62" s="13" t="s">
        <v>331</v>
      </c>
      <c r="E62" s="30"/>
      <c r="F62" s="30"/>
      <c r="G62" s="30" t="s">
        <v>332</v>
      </c>
      <c r="H62" s="15" t="s">
        <v>325</v>
      </c>
      <c r="I62" s="15" t="s">
        <v>47</v>
      </c>
      <c r="J62" s="15" t="s">
        <v>211</v>
      </c>
      <c r="K62" s="15" t="s">
        <v>32</v>
      </c>
      <c r="L62" s="15"/>
      <c r="M62" s="15" t="s">
        <v>33</v>
      </c>
      <c r="N62" s="15"/>
      <c r="O62" s="15"/>
      <c r="P62" s="15" t="s">
        <v>333</v>
      </c>
      <c r="Q62" s="15"/>
      <c r="R62" s="16"/>
      <c r="S62" s="12"/>
      <c r="T62" s="11" t="s">
        <v>212</v>
      </c>
      <c r="U62" s="12" t="s">
        <v>334</v>
      </c>
      <c r="V62" s="17" t="s">
        <v>34</v>
      </c>
      <c r="W62" s="17" t="s">
        <v>34</v>
      </c>
      <c r="X62" s="17" t="s">
        <v>335</v>
      </c>
    </row>
    <row r="63" spans="1:24" ht="42" customHeight="1" x14ac:dyDescent="0.2">
      <c r="A63" s="11" t="s">
        <v>25</v>
      </c>
      <c r="B63" s="12" t="s">
        <v>336</v>
      </c>
      <c r="C63" s="12"/>
      <c r="D63" s="13" t="s">
        <v>337</v>
      </c>
      <c r="E63" s="30"/>
      <c r="F63" s="30"/>
      <c r="G63" s="30" t="s">
        <v>302</v>
      </c>
      <c r="H63" s="15" t="s">
        <v>46</v>
      </c>
      <c r="I63" s="15" t="s">
        <v>47</v>
      </c>
      <c r="J63" s="15" t="s">
        <v>108</v>
      </c>
      <c r="K63" s="15" t="s">
        <v>32</v>
      </c>
      <c r="L63" s="15" t="s">
        <v>338</v>
      </c>
      <c r="M63" s="15" t="s">
        <v>33</v>
      </c>
      <c r="N63" s="15"/>
      <c r="O63" s="15"/>
      <c r="P63" s="15" t="s">
        <v>210</v>
      </c>
      <c r="Q63" s="15" t="s">
        <v>339</v>
      </c>
      <c r="R63" s="16"/>
      <c r="S63" s="12"/>
      <c r="T63" s="11" t="s">
        <v>110</v>
      </c>
      <c r="U63" s="12" t="s">
        <v>340</v>
      </c>
      <c r="V63" s="17" t="s">
        <v>34</v>
      </c>
      <c r="W63" s="17" t="s">
        <v>34</v>
      </c>
      <c r="X63" s="17" t="s">
        <v>341</v>
      </c>
    </row>
    <row r="64" spans="1:24" ht="42" customHeight="1" x14ac:dyDescent="0.2">
      <c r="A64" s="11" t="s">
        <v>25</v>
      </c>
      <c r="B64" s="12" t="s">
        <v>342</v>
      </c>
      <c r="C64" s="12"/>
      <c r="D64" s="13" t="s">
        <v>343</v>
      </c>
      <c r="E64" s="30"/>
      <c r="F64" s="30"/>
      <c r="G64" s="30" t="s">
        <v>344</v>
      </c>
      <c r="H64" s="15" t="s">
        <v>325</v>
      </c>
      <c r="I64" s="15" t="s">
        <v>47</v>
      </c>
      <c r="J64" s="15" t="s">
        <v>211</v>
      </c>
      <c r="K64" s="15" t="s">
        <v>32</v>
      </c>
      <c r="L64" s="15"/>
      <c r="M64" s="15" t="s">
        <v>33</v>
      </c>
      <c r="N64" s="15"/>
      <c r="O64" s="15"/>
      <c r="P64" s="15" t="s">
        <v>345</v>
      </c>
      <c r="Q64" s="15" t="s">
        <v>346</v>
      </c>
      <c r="R64" s="16"/>
      <c r="S64" s="12"/>
      <c r="T64" s="11" t="s">
        <v>212</v>
      </c>
      <c r="U64" s="12" t="s">
        <v>347</v>
      </c>
      <c r="V64" s="17" t="s">
        <v>34</v>
      </c>
      <c r="W64" s="17" t="s">
        <v>34</v>
      </c>
      <c r="X64" s="19" t="s">
        <v>348</v>
      </c>
    </row>
    <row r="65" spans="1:24" s="5" customFormat="1" ht="21.95" customHeight="1" x14ac:dyDescent="0.2">
      <c r="B65" s="6" t="s">
        <v>349</v>
      </c>
      <c r="E65" s="29"/>
      <c r="F65" s="29"/>
      <c r="G65" s="29"/>
      <c r="H65" s="9"/>
      <c r="I65" s="9"/>
      <c r="J65" s="9"/>
      <c r="K65" s="9"/>
      <c r="L65" s="9"/>
      <c r="M65" s="9"/>
      <c r="N65" s="9"/>
      <c r="O65" s="9"/>
      <c r="P65" s="9"/>
      <c r="Q65" s="9"/>
      <c r="R65" s="10"/>
      <c r="W65" s="9"/>
    </row>
    <row r="66" spans="1:24" ht="42" customHeight="1" x14ac:dyDescent="0.2">
      <c r="A66" s="11" t="s">
        <v>25</v>
      </c>
      <c r="B66" s="12" t="s">
        <v>350</v>
      </c>
      <c r="C66" s="12"/>
      <c r="D66" s="44" t="s">
        <v>351</v>
      </c>
      <c r="E66" s="42" t="s">
        <v>352</v>
      </c>
      <c r="F66" s="30"/>
      <c r="G66" s="30"/>
      <c r="H66" s="15" t="s">
        <v>213</v>
      </c>
      <c r="I66" s="15" t="s">
        <v>47</v>
      </c>
      <c r="J66" s="15" t="s">
        <v>108</v>
      </c>
      <c r="K66" s="15" t="s">
        <v>32</v>
      </c>
      <c r="L66" s="15"/>
      <c r="M66" s="15" t="s">
        <v>33</v>
      </c>
      <c r="N66" s="15"/>
      <c r="O66" s="15"/>
      <c r="P66" s="15"/>
      <c r="Q66" s="15"/>
      <c r="R66" s="16"/>
      <c r="S66" s="12"/>
      <c r="T66" s="11" t="s">
        <v>110</v>
      </c>
      <c r="U66" s="12" t="s">
        <v>353</v>
      </c>
      <c r="V66" s="17" t="s">
        <v>34</v>
      </c>
      <c r="W66" s="20" t="s">
        <v>354</v>
      </c>
      <c r="X66" s="17" t="s">
        <v>34</v>
      </c>
    </row>
    <row r="67" spans="1:24" ht="42" customHeight="1" x14ac:dyDescent="0.2">
      <c r="A67" s="11" t="s">
        <v>25</v>
      </c>
      <c r="B67" s="12" t="s">
        <v>355</v>
      </c>
      <c r="C67" s="12"/>
      <c r="D67" s="14" t="s">
        <v>356</v>
      </c>
      <c r="E67" s="30"/>
      <c r="F67" s="30"/>
      <c r="G67" s="30"/>
      <c r="H67" s="15" t="s">
        <v>357</v>
      </c>
      <c r="I67" s="15" t="s">
        <v>358</v>
      </c>
      <c r="J67" s="15" t="s">
        <v>359</v>
      </c>
      <c r="K67" s="24" t="s">
        <v>60</v>
      </c>
      <c r="L67" s="15" t="s">
        <v>360</v>
      </c>
      <c r="M67" s="15" t="s">
        <v>361</v>
      </c>
      <c r="N67" s="15"/>
      <c r="O67" s="15"/>
      <c r="P67" s="15"/>
      <c r="Q67" s="15"/>
      <c r="R67" s="16"/>
      <c r="S67" s="12"/>
      <c r="T67" s="11" t="s">
        <v>362</v>
      </c>
      <c r="U67" s="12" t="s">
        <v>363</v>
      </c>
      <c r="V67" s="17" t="s">
        <v>34</v>
      </c>
      <c r="W67" s="17" t="s">
        <v>364</v>
      </c>
      <c r="X67" s="17" t="s">
        <v>34</v>
      </c>
    </row>
    <row r="68" spans="1:24" ht="42" customHeight="1" x14ac:dyDescent="0.2">
      <c r="A68" s="11" t="s">
        <v>25</v>
      </c>
      <c r="B68" s="12" t="s">
        <v>365</v>
      </c>
      <c r="C68" s="12"/>
      <c r="D68" s="14"/>
      <c r="E68" s="30"/>
      <c r="F68" s="30"/>
      <c r="G68" s="30"/>
      <c r="H68" s="15" t="s">
        <v>366</v>
      </c>
      <c r="I68" s="15" t="s">
        <v>367</v>
      </c>
      <c r="J68" s="15" t="s">
        <v>359</v>
      </c>
      <c r="K68" s="24" t="s">
        <v>60</v>
      </c>
      <c r="L68" s="15" t="s">
        <v>368</v>
      </c>
      <c r="M68" s="15" t="s">
        <v>369</v>
      </c>
      <c r="N68" s="15"/>
      <c r="O68" s="15"/>
      <c r="P68" s="15"/>
      <c r="Q68" s="15"/>
      <c r="R68" s="16"/>
      <c r="S68" s="12"/>
      <c r="T68" s="11" t="s">
        <v>362</v>
      </c>
      <c r="U68" s="12" t="s">
        <v>370</v>
      </c>
      <c r="V68" s="17" t="s">
        <v>34</v>
      </c>
      <c r="W68" s="17" t="s">
        <v>371</v>
      </c>
      <c r="X68" s="17" t="s">
        <v>34</v>
      </c>
    </row>
    <row r="69" spans="1:24" ht="42" customHeight="1" x14ac:dyDescent="0.2">
      <c r="A69" s="11" t="s">
        <v>25</v>
      </c>
      <c r="B69" s="12" t="s">
        <v>372</v>
      </c>
      <c r="C69" s="12"/>
      <c r="D69" s="14" t="s">
        <v>373</v>
      </c>
      <c r="E69" s="30"/>
      <c r="F69" s="30"/>
      <c r="G69" s="30"/>
      <c r="H69" s="15" t="s">
        <v>374</v>
      </c>
      <c r="I69" s="15" t="s">
        <v>221</v>
      </c>
      <c r="J69" s="15" t="s">
        <v>375</v>
      </c>
      <c r="K69" s="24" t="s">
        <v>60</v>
      </c>
      <c r="L69" s="15" t="s">
        <v>368</v>
      </c>
      <c r="M69" s="15" t="s">
        <v>376</v>
      </c>
      <c r="N69" s="15"/>
      <c r="O69" s="15"/>
      <c r="P69" s="15"/>
      <c r="Q69" s="15"/>
      <c r="R69" s="16"/>
      <c r="S69" s="12"/>
      <c r="T69" s="11" t="s">
        <v>377</v>
      </c>
      <c r="U69" s="12" t="s">
        <v>378</v>
      </c>
      <c r="V69" s="17" t="s">
        <v>34</v>
      </c>
      <c r="W69" s="17" t="s">
        <v>379</v>
      </c>
      <c r="X69" s="17" t="s">
        <v>34</v>
      </c>
    </row>
    <row r="70" spans="1:24" s="5" customFormat="1" ht="21.95" customHeight="1" x14ac:dyDescent="0.2">
      <c r="B70" s="6" t="s">
        <v>380</v>
      </c>
      <c r="E70" s="29"/>
      <c r="F70" s="29"/>
      <c r="G70" s="29"/>
      <c r="H70" s="9"/>
      <c r="I70" s="9"/>
      <c r="J70" s="9"/>
      <c r="K70" s="9"/>
      <c r="L70" s="9"/>
      <c r="M70" s="9"/>
      <c r="N70" s="9"/>
      <c r="O70" s="9"/>
      <c r="P70" s="9"/>
      <c r="Q70" s="9"/>
      <c r="R70" s="10"/>
      <c r="W70" s="9"/>
    </row>
    <row r="72" spans="1:24" x14ac:dyDescent="0.25">
      <c r="M72" s="23" t="s">
        <v>381</v>
      </c>
    </row>
    <row r="73" spans="1:24" x14ac:dyDescent="0.25">
      <c r="M73" s="23" t="s">
        <v>382</v>
      </c>
    </row>
    <row r="74" spans="1:24" x14ac:dyDescent="0.25">
      <c r="M74" s="23" t="s">
        <v>383</v>
      </c>
    </row>
    <row r="75" spans="1:24" x14ac:dyDescent="0.25">
      <c r="M75" s="23" t="s">
        <v>384</v>
      </c>
    </row>
    <row r="76" spans="1:24" x14ac:dyDescent="0.25">
      <c r="M76" s="23" t="s">
        <v>385</v>
      </c>
    </row>
    <row r="77" spans="1:24" x14ac:dyDescent="0.25">
      <c r="M77" s="23" t="s">
        <v>386</v>
      </c>
    </row>
    <row r="78" spans="1:24" x14ac:dyDescent="0.25">
      <c r="M78" s="23" t="s">
        <v>387</v>
      </c>
    </row>
    <row r="79" spans="1:24" x14ac:dyDescent="0.25">
      <c r="M79" s="23" t="s">
        <v>388</v>
      </c>
    </row>
    <row r="80" spans="1:24" x14ac:dyDescent="0.25">
      <c r="M80" s="23" t="s">
        <v>389</v>
      </c>
    </row>
  </sheetData>
  <mergeCells count="1">
    <mergeCell ref="F44:F48"/>
  </mergeCells>
  <phoneticPr fontId="1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2026-03-21T00:11:55Z</dcterms:created>
  <dcterms:modified xsi:type="dcterms:W3CDTF">2026-03-21T00:19:43Z</dcterms:modified>
</cp:coreProperties>
</file>